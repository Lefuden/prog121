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hartsheets/sheet1.xml" ContentType="application/vnd.openxmlformats-officedocument.spreadsheetml.chart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prog121-my.sharepoint.com/personal/daniel_f_prog121_onmicrosoft_com/Documents/Excel grund och fördjupning/"/>
    </mc:Choice>
  </mc:AlternateContent>
  <xr:revisionPtr revIDLastSave="236" documentId="13_ncr:1_{F6B5EFE8-5E3E-4B8D-9C81-9AB14C3E171D}" xr6:coauthVersionLast="46" xr6:coauthVersionMax="46" xr10:uidLastSave="{987CED08-2025-49F5-87EF-9BAB9AF4B1FA}"/>
  <bookViews>
    <workbookView xWindow="-120" yWindow="-120" windowWidth="29040" windowHeight="16440" tabRatio="938" firstSheet="3" activeTab="14" xr2:uid="{00000000-000D-0000-FFFF-FFFF00000000}"/>
  </bookViews>
  <sheets>
    <sheet name="Filter och sortering" sheetId="31" r:id="rId1"/>
    <sheet name="Avancerat filter" sheetId="21" r:id="rId2"/>
    <sheet name="Delsummor inbyggd" sheetId="38" r:id="rId3"/>
    <sheet name="Delsummor funktion" sheetId="39" r:id="rId4"/>
    <sheet name="Pivot med beräkningar" sheetId="40" r:id="rId5"/>
    <sheet name="Kvartalspivot" sheetId="43" r:id="rId6"/>
    <sheet name="Pivotdiagram" sheetId="45" r:id="rId7"/>
    <sheet name="Diagramunderlag" sheetId="44" state="hidden" r:id="rId8"/>
    <sheet name="Dataunderlag Pivot tabell" sheetId="32" r:id="rId9"/>
    <sheet name="Kundlista1" sheetId="7" r:id="rId10"/>
    <sheet name="Kundlista2" sheetId="13" r:id="rId11"/>
    <sheet name="Logisk och Funktion i funktion" sheetId="29" r:id="rId12"/>
    <sheet name="Databasfunktion" sheetId="10" r:id="rId13"/>
    <sheet name="Dela kolumn" sheetId="37" r:id="rId14"/>
    <sheet name="Egna funktioner och procedurer" sheetId="18" r:id="rId15"/>
  </sheets>
  <definedNames>
    <definedName name="_xlnm._FilterDatabase" localSheetId="1" hidden="1">'Avancerat filter'!$A$6:$F$52</definedName>
    <definedName name="_xlnm._FilterDatabase" localSheetId="12" hidden="1">Databasfunktion!$A$8:$F$19</definedName>
    <definedName name="_xlnm._FilterDatabase" localSheetId="8" hidden="1">'Dataunderlag Pivot tabell'!$A$1:$F$47</definedName>
    <definedName name="_xlnm._FilterDatabase" localSheetId="13" hidden="1">'Dela kolumn'!$A$1:$I$85</definedName>
    <definedName name="_xlnm._FilterDatabase" localSheetId="3" hidden="1">'Delsummor funktion'!$A$5:$H$118</definedName>
    <definedName name="_xlnm._FilterDatabase" localSheetId="2" hidden="1">'Delsummor inbyggd'!$A$1:$H$118</definedName>
    <definedName name="_xlnm._FilterDatabase" localSheetId="0" hidden="1">'Filter och sortering'!$A$1:$F$47</definedName>
    <definedName name="_xlnm._FilterDatabase" localSheetId="9" hidden="1">Kundlista1!$A$1:$G$89</definedName>
    <definedName name="_xlnm._FilterDatabase" localSheetId="10" hidden="1">Kundlista2!$A$1:$G$85</definedName>
    <definedName name="_xlnm.Criteria" localSheetId="12">Databasfunktion!$A$4:$E$5</definedName>
    <definedName name="_xlnm.Criteria" localSheetId="8">'Dataunderlag Pivot tabell'!#REF!</definedName>
    <definedName name="_xlnm.Criteria" localSheetId="0">'Filter och sortering'!#REF!</definedName>
    <definedName name="_xlnm.Extract" localSheetId="1">'Avancerat filter'!$H$5:$J$5</definedName>
    <definedName name="_xlnm.Extract" localSheetId="8">'Dataunderlag Pivot tabell'!#REF!</definedName>
    <definedName name="_xlnm.Extract" localSheetId="13">'Dela kolumn'!#REF!</definedName>
    <definedName name="_xlnm.Extract" localSheetId="0">'Filter och sortering'!#REF!</definedName>
    <definedName name="_xlnm.Extract" localSheetId="10">Kundlista2!$I$1</definedName>
    <definedName name="Lön_Kostn_st" localSheetId="8">#REF!</definedName>
    <definedName name="Lön_Kostn_st" localSheetId="13">#REF!</definedName>
    <definedName name="Lön_Kostn_st" localSheetId="0">#REF!</definedName>
    <definedName name="Lön_Kostn_st">#REF!</definedName>
    <definedName name="Mtrl_Kostn_st" localSheetId="8">#REF!</definedName>
    <definedName name="Mtrl_Kostn_st" localSheetId="13">#REF!</definedName>
    <definedName name="Mtrl_Kostn_st" localSheetId="0">#REF!</definedName>
    <definedName name="Mtrl_Kostn_st">#REF!</definedName>
    <definedName name="Övr_Rörl_Kostn" localSheetId="8">#REF!</definedName>
    <definedName name="Övr_Rörl_Kostn" localSheetId="13">#REF!</definedName>
    <definedName name="Övr_Rörl_Kostn" localSheetId="0">#REF!</definedName>
    <definedName name="Övr_Rörl_Kostn">#REF!</definedName>
    <definedName name="Pris_st" localSheetId="8">#REF!</definedName>
    <definedName name="Pris_st" localSheetId="13">#REF!</definedName>
    <definedName name="Pris_st" localSheetId="0">#REF!</definedName>
    <definedName name="Pris_st">#REF!</definedName>
    <definedName name="Sålt_antal" localSheetId="8">#REF!</definedName>
    <definedName name="Sålt_antal" localSheetId="13">#REF!</definedName>
    <definedName name="Sålt_antal" localSheetId="0">#REF!</definedName>
    <definedName name="Sålt_antal">#REF!</definedName>
    <definedName name="Slicer_Distrikt">#N/A</definedName>
    <definedName name="Slicer_Vara">#N/A</definedName>
    <definedName name="Sum_Int" localSheetId="8">#REF!</definedName>
    <definedName name="Sum_Int" localSheetId="13">#REF!</definedName>
    <definedName name="Sum_Int" localSheetId="0">#REF!</definedName>
    <definedName name="Sum_Int">#REF!</definedName>
    <definedName name="Sum_Kostn" localSheetId="8">#REF!</definedName>
    <definedName name="Sum_Kostn" localSheetId="13">#REF!</definedName>
    <definedName name="Sum_Kostn" localSheetId="0">#REF!</definedName>
    <definedName name="Sum_Kostn">#REF!</definedName>
    <definedName name="TB_st" localSheetId="8">#REF!</definedName>
    <definedName name="TB_st" localSheetId="13">#REF!</definedName>
    <definedName name="TB_st" localSheetId="0">#REF!</definedName>
    <definedName name="TB_st">#REF!</definedName>
    <definedName name="TB_totalt" localSheetId="8">#REF!</definedName>
    <definedName name="TB_totalt" localSheetId="13">#REF!</definedName>
    <definedName name="TB_totalt" localSheetId="0">#REF!</definedName>
    <definedName name="TB_totalt">#REF!</definedName>
  </definedNames>
  <calcPr calcId="191029"/>
  <pivotCaches>
    <pivotCache cacheId="0" r:id="rId16"/>
  </pivotCaches>
  <extLst>
    <ext xmlns:x14="http://schemas.microsoft.com/office/spreadsheetml/2009/9/main" uri="{BBE1A952-AA13-448e-AADC-164F8A28A991}">
      <x14:slicerCaches>
        <x14:slicerCache r:id="rId17"/>
        <x14:slicerCache r:id="rId1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 i="32" l="1"/>
  <c r="I3" i="32"/>
  <c r="I4" i="32"/>
  <c r="I5" i="32"/>
  <c r="I6" i="32"/>
  <c r="I7" i="32"/>
  <c r="I8" i="32"/>
  <c r="I9" i="32"/>
  <c r="I10" i="32"/>
  <c r="I11" i="32"/>
  <c r="I12" i="32"/>
  <c r="I13" i="32"/>
  <c r="I14" i="32"/>
  <c r="I15" i="32"/>
  <c r="I16" i="32"/>
  <c r="I17" i="32"/>
  <c r="I18" i="32"/>
  <c r="I19" i="32"/>
  <c r="I20" i="32"/>
  <c r="I21" i="32"/>
  <c r="I22" i="32"/>
  <c r="I23" i="32"/>
  <c r="I24" i="32"/>
  <c r="I25" i="32"/>
  <c r="I26" i="32"/>
  <c r="I27" i="32"/>
  <c r="I28" i="32"/>
  <c r="I29" i="32"/>
  <c r="I30" i="32"/>
  <c r="I31" i="32"/>
  <c r="I32" i="32"/>
  <c r="I33" i="32"/>
  <c r="I34" i="32"/>
  <c r="I35" i="32"/>
  <c r="I36" i="32"/>
  <c r="I37" i="32"/>
  <c r="I38" i="32"/>
  <c r="I39" i="32"/>
  <c r="I40" i="32"/>
  <c r="I41" i="32"/>
  <c r="I42" i="32"/>
  <c r="I43" i="32"/>
  <c r="I44" i="32"/>
  <c r="I45" i="32"/>
  <c r="I46" i="32"/>
  <c r="I47" i="32"/>
  <c r="H2" i="32"/>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E21" i="10"/>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42" i="37"/>
  <c r="E43" i="37"/>
  <c r="E44" i="37"/>
  <c r="E45" i="37"/>
  <c r="E46" i="37"/>
  <c r="E47" i="37"/>
  <c r="E48" i="37"/>
  <c r="E49" i="37"/>
  <c r="E50" i="37"/>
  <c r="E51" i="37"/>
  <c r="E52" i="37"/>
  <c r="E53" i="37"/>
  <c r="E54" i="37"/>
  <c r="E55" i="37"/>
  <c r="E56" i="37"/>
  <c r="E57" i="37"/>
  <c r="E58" i="37"/>
  <c r="E59" i="37"/>
  <c r="E60" i="37"/>
  <c r="E61" i="37"/>
  <c r="E62" i="37"/>
  <c r="E63" i="37"/>
  <c r="E64" i="37"/>
  <c r="E65" i="37"/>
  <c r="E66" i="37"/>
  <c r="E67" i="37"/>
  <c r="E68" i="37"/>
  <c r="E69" i="37"/>
  <c r="E70" i="37"/>
  <c r="E71" i="37"/>
  <c r="E72" i="37"/>
  <c r="E73" i="37"/>
  <c r="E74" i="37"/>
  <c r="E75" i="37"/>
  <c r="E76" i="37"/>
  <c r="E77" i="37"/>
  <c r="E78" i="37"/>
  <c r="E79" i="37"/>
  <c r="E80" i="37"/>
  <c r="E81" i="37"/>
  <c r="E82" i="37"/>
  <c r="E83" i="37"/>
  <c r="E84" i="37"/>
  <c r="E85" i="37"/>
  <c r="E2" i="37"/>
  <c r="H12" i="7"/>
  <c r="I12" i="7" s="1"/>
  <c r="H13" i="7"/>
  <c r="I13" i="7" s="1"/>
  <c r="H14" i="7"/>
  <c r="I14" i="7" s="1"/>
  <c r="H15" i="7"/>
  <c r="I15" i="7" s="1"/>
  <c r="H16" i="7"/>
  <c r="I16" i="7" s="1"/>
  <c r="H17" i="7"/>
  <c r="I17" i="7" s="1"/>
  <c r="H18" i="7"/>
  <c r="I18" i="7" s="1"/>
  <c r="H6" i="7"/>
  <c r="I6" i="7" s="1"/>
  <c r="H19" i="7"/>
  <c r="I19" i="7" s="1"/>
  <c r="H20" i="7"/>
  <c r="I20" i="7" s="1"/>
  <c r="H21" i="7"/>
  <c r="I21" i="7" s="1"/>
  <c r="H22" i="7"/>
  <c r="I22" i="7" s="1"/>
  <c r="H23" i="7"/>
  <c r="I23" i="7" s="1"/>
  <c r="H24" i="7"/>
  <c r="I24" i="7" s="1"/>
  <c r="H7" i="7"/>
  <c r="I7" i="7" s="1"/>
  <c r="H8" i="7"/>
  <c r="I8" i="7" s="1"/>
  <c r="H25" i="7"/>
  <c r="I25" i="7" s="1"/>
  <c r="H26" i="7"/>
  <c r="I26" i="7" s="1"/>
  <c r="H2" i="7"/>
  <c r="I2" i="7" s="1"/>
  <c r="H27" i="7"/>
  <c r="I27" i="7" s="1"/>
  <c r="H28" i="7"/>
  <c r="I28" i="7" s="1"/>
  <c r="H29" i="7"/>
  <c r="I29" i="7" s="1"/>
  <c r="H30" i="7"/>
  <c r="I30" i="7" s="1"/>
  <c r="H31" i="7"/>
  <c r="I31" i="7" s="1"/>
  <c r="H32" i="7"/>
  <c r="I32" i="7" s="1"/>
  <c r="H33" i="7"/>
  <c r="I33" i="7" s="1"/>
  <c r="H34" i="7"/>
  <c r="I34" i="7" s="1"/>
  <c r="H35" i="7"/>
  <c r="I35" i="7" s="1"/>
  <c r="H36" i="7"/>
  <c r="I36" i="7" s="1"/>
  <c r="H37" i="7"/>
  <c r="I37" i="7" s="1"/>
  <c r="H38" i="7"/>
  <c r="I38" i="7" s="1"/>
  <c r="H39" i="7"/>
  <c r="I39" i="7" s="1"/>
  <c r="H3" i="7"/>
  <c r="I3" i="7" s="1"/>
  <c r="H4" i="7"/>
  <c r="I4" i="7" s="1"/>
  <c r="H40" i="7"/>
  <c r="I40" i="7" s="1"/>
  <c r="H41" i="7"/>
  <c r="I41" i="7" s="1"/>
  <c r="H42" i="7"/>
  <c r="I42" i="7" s="1"/>
  <c r="H43" i="7"/>
  <c r="I43" i="7" s="1"/>
  <c r="H44" i="7"/>
  <c r="I44" i="7" s="1"/>
  <c r="H45" i="7"/>
  <c r="I45" i="7" s="1"/>
  <c r="H46" i="7"/>
  <c r="I46" i="7" s="1"/>
  <c r="H47" i="7"/>
  <c r="I47" i="7" s="1"/>
  <c r="H48" i="7"/>
  <c r="I48" i="7" s="1"/>
  <c r="H49" i="7"/>
  <c r="I49" i="7" s="1"/>
  <c r="H50" i="7"/>
  <c r="I50" i="7" s="1"/>
  <c r="H51" i="7"/>
  <c r="I51" i="7" s="1"/>
  <c r="H5" i="7"/>
  <c r="I5" i="7" s="1"/>
  <c r="H52" i="7"/>
  <c r="I52" i="7" s="1"/>
  <c r="H53" i="7"/>
  <c r="I53" i="7" s="1"/>
  <c r="H54" i="7"/>
  <c r="I54" i="7" s="1"/>
  <c r="H55" i="7"/>
  <c r="I55" i="7" s="1"/>
  <c r="H56" i="7"/>
  <c r="I56" i="7" s="1"/>
  <c r="H57" i="7"/>
  <c r="I57" i="7" s="1"/>
  <c r="H58" i="7"/>
  <c r="I58" i="7" s="1"/>
  <c r="H59" i="7"/>
  <c r="I59" i="7" s="1"/>
  <c r="H60" i="7"/>
  <c r="I60" i="7" s="1"/>
  <c r="H61" i="7"/>
  <c r="I61" i="7" s="1"/>
  <c r="H62" i="7"/>
  <c r="I62" i="7" s="1"/>
  <c r="H63" i="7"/>
  <c r="I63" i="7" s="1"/>
  <c r="H64" i="7"/>
  <c r="I64" i="7" s="1"/>
  <c r="H65" i="7"/>
  <c r="I65" i="7" s="1"/>
  <c r="H66" i="7"/>
  <c r="I66" i="7" s="1"/>
  <c r="H67" i="7"/>
  <c r="I67" i="7" s="1"/>
  <c r="H68" i="7"/>
  <c r="I68" i="7" s="1"/>
  <c r="H69" i="7"/>
  <c r="I69" i="7" s="1"/>
  <c r="H70" i="7"/>
  <c r="I70" i="7" s="1"/>
  <c r="H71" i="7"/>
  <c r="I71" i="7" s="1"/>
  <c r="H72" i="7"/>
  <c r="I72" i="7" s="1"/>
  <c r="H73" i="7"/>
  <c r="I73" i="7" s="1"/>
  <c r="H74" i="7"/>
  <c r="I74" i="7" s="1"/>
  <c r="H75" i="7"/>
  <c r="I75" i="7" s="1"/>
  <c r="H76" i="7"/>
  <c r="I76" i="7" s="1"/>
  <c r="H77" i="7"/>
  <c r="I77" i="7" s="1"/>
  <c r="H78" i="7"/>
  <c r="I78" i="7" s="1"/>
  <c r="H9" i="7"/>
  <c r="I9" i="7" s="1"/>
  <c r="H79" i="7"/>
  <c r="I79" i="7" s="1"/>
  <c r="H80" i="7"/>
  <c r="I80" i="7" s="1"/>
  <c r="H81" i="7"/>
  <c r="I81" i="7" s="1"/>
  <c r="H82" i="7"/>
  <c r="I82" i="7" s="1"/>
  <c r="H83" i="7"/>
  <c r="I83" i="7" s="1"/>
  <c r="H84" i="7"/>
  <c r="I84" i="7" s="1"/>
  <c r="H10" i="7"/>
  <c r="I10" i="7" s="1"/>
  <c r="H85" i="7"/>
  <c r="I85" i="7" s="1"/>
  <c r="H86" i="7"/>
  <c r="I86" i="7" s="1"/>
  <c r="H87" i="7"/>
  <c r="I87" i="7" s="1"/>
  <c r="H88" i="7"/>
  <c r="I88" i="7" s="1"/>
  <c r="H89" i="7"/>
  <c r="I89" i="7" s="1"/>
  <c r="H11" i="7"/>
  <c r="I11" i="7" s="1"/>
  <c r="E24" i="10"/>
  <c r="E23" i="10"/>
  <c r="E22" i="10"/>
  <c r="B25" i="29"/>
  <c r="G3" i="29"/>
  <c r="G4" i="29"/>
  <c r="G5" i="29"/>
  <c r="G6" i="29"/>
  <c r="G7" i="29"/>
  <c r="G8" i="29"/>
  <c r="G9" i="29"/>
  <c r="G10" i="29"/>
  <c r="G11" i="29"/>
  <c r="G12" i="29"/>
  <c r="G2" i="29"/>
  <c r="H2" i="39"/>
  <c r="H3" i="39" s="1"/>
  <c r="H1" i="39"/>
  <c r="H119" i="38"/>
  <c r="H55" i="38"/>
  <c r="H31" i="38"/>
  <c r="H120" i="38"/>
  <c r="H56" i="38"/>
  <c r="H32" i="38"/>
  <c r="H122" i="38" s="1"/>
  <c r="B9" i="18" a="1"/>
  <c r="C9" i="18" a="1"/>
  <c r="D9" i="18" a="1"/>
  <c r="H121" i="38" l="1"/>
  <c r="D9" i="18"/>
  <c r="C9" i="18"/>
  <c r="B9" i="18"/>
  <c r="B26" i="29" l="1"/>
  <c r="B4" i="18"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<sst xmlns="http://schemas.openxmlformats.org/spreadsheetml/2006/main" count="3645" uniqueCount="972">
  <si>
    <t>Vinkännarna AB</t>
  </si>
  <si>
    <t>Namn</t>
  </si>
  <si>
    <t>Typ</t>
  </si>
  <si>
    <t>Årgång</t>
  </si>
  <si>
    <t>Flaskor i lager</t>
  </si>
  <si>
    <t>Land</t>
  </si>
  <si>
    <t xml:space="preserve">Isabella Merlot </t>
  </si>
  <si>
    <t>Chile</t>
  </si>
  <si>
    <t xml:space="preserve">Manoposa </t>
  </si>
  <si>
    <t xml:space="preserve">Fronterador Siglo </t>
  </si>
  <si>
    <t>Argentina</t>
  </si>
  <si>
    <t>Kiwarra</t>
  </si>
  <si>
    <t>Nya Zeeland</t>
  </si>
  <si>
    <t>Stonebank</t>
  </si>
  <si>
    <t>Australien</t>
  </si>
  <si>
    <t>Wolloman</t>
  </si>
  <si>
    <t>Seashore Two</t>
  </si>
  <si>
    <t>Pasqua</t>
  </si>
  <si>
    <t>Portugal</t>
  </si>
  <si>
    <t>Prominent</t>
  </si>
  <si>
    <t>California</t>
  </si>
  <si>
    <t>Mirialle</t>
  </si>
  <si>
    <t>Frankrike</t>
  </si>
  <si>
    <t>Spanien</t>
  </si>
  <si>
    <t>Marques de Tristan</t>
  </si>
  <si>
    <t>Rött</t>
  </si>
  <si>
    <t>Vitt</t>
  </si>
  <si>
    <t>Pris per flaska</t>
  </si>
  <si>
    <t>Titel</t>
  </si>
  <si>
    <t>Alfreds Futterkiste</t>
  </si>
  <si>
    <t>Maria Anders</t>
  </si>
  <si>
    <t>Sales Representative</t>
  </si>
  <si>
    <t>Berlin</t>
  </si>
  <si>
    <t/>
  </si>
  <si>
    <t>12209</t>
  </si>
  <si>
    <t>Germany</t>
  </si>
  <si>
    <t>Ana Trujillo Emparedados y helados</t>
  </si>
  <si>
    <t>Ana Trujillo</t>
  </si>
  <si>
    <t>Owner</t>
  </si>
  <si>
    <t>México D.F.</t>
  </si>
  <si>
    <t>05021</t>
  </si>
  <si>
    <t>Mexico</t>
  </si>
  <si>
    <t>Antonio Moreno Taquería</t>
  </si>
  <si>
    <t>Antonio Moreno</t>
  </si>
  <si>
    <t>05023</t>
  </si>
  <si>
    <t>Around the Horn</t>
  </si>
  <si>
    <t>Thomas Hardy</t>
  </si>
  <si>
    <t>London</t>
  </si>
  <si>
    <t>WA1 1DP</t>
  </si>
  <si>
    <t>UK</t>
  </si>
  <si>
    <t>Berglunds snabbköp</t>
  </si>
  <si>
    <t>Christina Berglund</t>
  </si>
  <si>
    <t>Order Administrator</t>
  </si>
  <si>
    <t>Luleå</t>
  </si>
  <si>
    <t>S-958 22</t>
  </si>
  <si>
    <t>Sweden</t>
  </si>
  <si>
    <t>Blauer See Delikatessen</t>
  </si>
  <si>
    <t>Hanna Moos</t>
  </si>
  <si>
    <t>Mannheim</t>
  </si>
  <si>
    <t>68306</t>
  </si>
  <si>
    <t>Blondel père et fils</t>
  </si>
  <si>
    <t>Frédérique Citeaux</t>
  </si>
  <si>
    <t>Marketing Manager</t>
  </si>
  <si>
    <t>Strasbourg</t>
  </si>
  <si>
    <t>67000</t>
  </si>
  <si>
    <t>France</t>
  </si>
  <si>
    <t>Bólido Comidas preparadas</t>
  </si>
  <si>
    <t>Martín Sommer</t>
  </si>
  <si>
    <t>Madrid</t>
  </si>
  <si>
    <t>28023</t>
  </si>
  <si>
    <t>Spain</t>
  </si>
  <si>
    <t>Bon app'</t>
  </si>
  <si>
    <t>Laurence Lebihan</t>
  </si>
  <si>
    <t>Marseille</t>
  </si>
  <si>
    <t>13008</t>
  </si>
  <si>
    <t>Bottom-Dollar Markets</t>
  </si>
  <si>
    <t>Elizabeth Lincoln</t>
  </si>
  <si>
    <t>Accounting Manager</t>
  </si>
  <si>
    <t>Tsawassen</t>
  </si>
  <si>
    <t>T2F 8M4</t>
  </si>
  <si>
    <t>Canada</t>
  </si>
  <si>
    <t>B's Beverages</t>
  </si>
  <si>
    <t>Victoria Ashworth</t>
  </si>
  <si>
    <t>EC2 5NT</t>
  </si>
  <si>
    <t>Cactus Comidas para llevar</t>
  </si>
  <si>
    <t>Patricio Simpson</t>
  </si>
  <si>
    <t>Sales Agent</t>
  </si>
  <si>
    <t>Buenos Aires</t>
  </si>
  <si>
    <t>1010</t>
  </si>
  <si>
    <t>Centro comercial Moctezuma</t>
  </si>
  <si>
    <t>Francisco Chang</t>
  </si>
  <si>
    <t>05022</t>
  </si>
  <si>
    <t>Chop-suey Chinese</t>
  </si>
  <si>
    <t>Yang Wang</t>
  </si>
  <si>
    <t>Bern</t>
  </si>
  <si>
    <t>3012</t>
  </si>
  <si>
    <t>Switzerland</t>
  </si>
  <si>
    <t>Comércio Mineiro</t>
  </si>
  <si>
    <t>Pedro Afonso</t>
  </si>
  <si>
    <t>Sales Associate</t>
  </si>
  <si>
    <t>São Paulo</t>
  </si>
  <si>
    <t>05432-043</t>
  </si>
  <si>
    <t>Brazil</t>
  </si>
  <si>
    <t>Consolidated Holdings</t>
  </si>
  <si>
    <t>Elizabeth Brown</t>
  </si>
  <si>
    <t>WX1 6LT</t>
  </si>
  <si>
    <t>Drachenblut Delikatessen</t>
  </si>
  <si>
    <t>Sven Ottlieb</t>
  </si>
  <si>
    <t>Aachen</t>
  </si>
  <si>
    <t>52066</t>
  </si>
  <si>
    <t>Du monde entier</t>
  </si>
  <si>
    <t>Janine Labrune</t>
  </si>
  <si>
    <t>Nantes</t>
  </si>
  <si>
    <t>44000</t>
  </si>
  <si>
    <t>Eastern Connection</t>
  </si>
  <si>
    <t>Ann Devon</t>
  </si>
  <si>
    <t>WX3 6FW</t>
  </si>
  <si>
    <t>Ernst Handel</t>
  </si>
  <si>
    <t>Roland Mendel</t>
  </si>
  <si>
    <t>Sales Manager</t>
  </si>
  <si>
    <t>Graz</t>
  </si>
  <si>
    <t>8010</t>
  </si>
  <si>
    <t>Austria</t>
  </si>
  <si>
    <t>Familia Arquibaldo</t>
  </si>
  <si>
    <t>Aria Cruz</t>
  </si>
  <si>
    <t>Marketing Assistant</t>
  </si>
  <si>
    <t>05442-030</t>
  </si>
  <si>
    <t>FISSA Fabrica Inter. Salchichas S.A.</t>
  </si>
  <si>
    <t>Diego Roel</t>
  </si>
  <si>
    <t>28034</t>
  </si>
  <si>
    <t>Folies gourmandes</t>
  </si>
  <si>
    <t>Martine Rancé</t>
  </si>
  <si>
    <t>Assistant Sales Agent</t>
  </si>
  <si>
    <t>Lille</t>
  </si>
  <si>
    <t>59000</t>
  </si>
  <si>
    <t>Folk och fä HB</t>
  </si>
  <si>
    <t>Maria Larsson</t>
  </si>
  <si>
    <t>Bräcke</t>
  </si>
  <si>
    <t>S-844 67</t>
  </si>
  <si>
    <t>Frankenversand</t>
  </si>
  <si>
    <t>Peter Franken</t>
  </si>
  <si>
    <t>München</t>
  </si>
  <si>
    <t>80805</t>
  </si>
  <si>
    <t>France restauration</t>
  </si>
  <si>
    <t>Carine Schmitt</t>
  </si>
  <si>
    <t>Franchi S.p.A.</t>
  </si>
  <si>
    <t>Paolo Accorti</t>
  </si>
  <si>
    <t>Torino</t>
  </si>
  <si>
    <t>10100</t>
  </si>
  <si>
    <t>Italy</t>
  </si>
  <si>
    <t>Furia Bacalhau e Frutos do Mar</t>
  </si>
  <si>
    <t xml:space="preserve">Lino Rodriguez </t>
  </si>
  <si>
    <t>Lisboa</t>
  </si>
  <si>
    <t>1675</t>
  </si>
  <si>
    <t>Galería del gastrónomo</t>
  </si>
  <si>
    <t>Eduardo Saavedra</t>
  </si>
  <si>
    <t>Barcelona</t>
  </si>
  <si>
    <t>08022</t>
  </si>
  <si>
    <t>Godos Cocina Típica</t>
  </si>
  <si>
    <t>José Pedro Freyre</t>
  </si>
  <si>
    <t>Sevilla</t>
  </si>
  <si>
    <t>41101</t>
  </si>
  <si>
    <t>Gourmet Lanchonetes</t>
  </si>
  <si>
    <t>André Fonseca</t>
  </si>
  <si>
    <t>Campinas</t>
  </si>
  <si>
    <t>04876-786</t>
  </si>
  <si>
    <t>Great Lakes Food Market</t>
  </si>
  <si>
    <t>Howard Snyder</t>
  </si>
  <si>
    <t>Eugene</t>
  </si>
  <si>
    <t>97403</t>
  </si>
  <si>
    <t>USA</t>
  </si>
  <si>
    <t>GROSELLA-Restaurante</t>
  </si>
  <si>
    <t>Manuel Pereira</t>
  </si>
  <si>
    <t>Caracas</t>
  </si>
  <si>
    <t>1081</t>
  </si>
  <si>
    <t>Venezuela</t>
  </si>
  <si>
    <t>Hanari Carnes</t>
  </si>
  <si>
    <t>Mario Pontes</t>
  </si>
  <si>
    <t>Rio de Janeiro</t>
  </si>
  <si>
    <t>05454-876</t>
  </si>
  <si>
    <t>HILARIÓN-Abastos</t>
  </si>
  <si>
    <t>Carlos Hernández</t>
  </si>
  <si>
    <t>San Cristóbal</t>
  </si>
  <si>
    <t>5022</t>
  </si>
  <si>
    <t>Hungry Coyote Import Store</t>
  </si>
  <si>
    <t>Yoshi Latimer</t>
  </si>
  <si>
    <t>Elgin</t>
  </si>
  <si>
    <t>97827</t>
  </si>
  <si>
    <t>Hungry Owl All-Night Grocers</t>
  </si>
  <si>
    <t>Patricia McKenna</t>
  </si>
  <si>
    <t>Cork</t>
  </si>
  <si>
    <t>Ireland</t>
  </si>
  <si>
    <t>Island Trading</t>
  </si>
  <si>
    <t>Helen Bennett</t>
  </si>
  <si>
    <t>Cowes</t>
  </si>
  <si>
    <t>PO31 7PJ</t>
  </si>
  <si>
    <t>Königlich Essen</t>
  </si>
  <si>
    <t>Philip Cramer</t>
  </si>
  <si>
    <t>Brandenburg</t>
  </si>
  <si>
    <t>14776</t>
  </si>
  <si>
    <t>La corne d'abondance</t>
  </si>
  <si>
    <t>Daniel Tonini</t>
  </si>
  <si>
    <t>Versailles</t>
  </si>
  <si>
    <t>78000</t>
  </si>
  <si>
    <t>La maison d'Asie</t>
  </si>
  <si>
    <t>Annette Roulet</t>
  </si>
  <si>
    <t>Toulouse</t>
  </si>
  <si>
    <t>31000</t>
  </si>
  <si>
    <t>Laughing Bacchus Wine Cellars</t>
  </si>
  <si>
    <t>Yoshi Tannamuri</t>
  </si>
  <si>
    <t>Vancouver</t>
  </si>
  <si>
    <t>V3F 2K1</t>
  </si>
  <si>
    <t>Lazy K Kountry Store</t>
  </si>
  <si>
    <t>John Steel</t>
  </si>
  <si>
    <t>99362</t>
  </si>
  <si>
    <t>Lehmanns Marktstand</t>
  </si>
  <si>
    <t>Renate Messner</t>
  </si>
  <si>
    <t xml:space="preserve">Frankfurt a.M. </t>
  </si>
  <si>
    <t>60528</t>
  </si>
  <si>
    <t>Let's Stop N Shop</t>
  </si>
  <si>
    <t>Jaime Yorres</t>
  </si>
  <si>
    <t>San Francisco</t>
  </si>
  <si>
    <t>94117</t>
  </si>
  <si>
    <t>LILA-Supermercado</t>
  </si>
  <si>
    <t>Carlos González</t>
  </si>
  <si>
    <t>Barquisimeto</t>
  </si>
  <si>
    <t>3508</t>
  </si>
  <si>
    <t>LINO-Delicateses</t>
  </si>
  <si>
    <t>Felipe Izquierdo</t>
  </si>
  <si>
    <t>I. de Margarita</t>
  </si>
  <si>
    <t>4980</t>
  </si>
  <si>
    <t>Lonesome Pine Restaurant</t>
  </si>
  <si>
    <t>Fran Wilson</t>
  </si>
  <si>
    <t>Portland</t>
  </si>
  <si>
    <t>97219</t>
  </si>
  <si>
    <t>Magazzini Alimentari Riuniti</t>
  </si>
  <si>
    <t>Giovanni Rovelli</t>
  </si>
  <si>
    <t>Bergamo</t>
  </si>
  <si>
    <t>24100</t>
  </si>
  <si>
    <t>Maison Dewey</t>
  </si>
  <si>
    <t>Catherine Dewey</t>
  </si>
  <si>
    <t>Bruxelles</t>
  </si>
  <si>
    <t>B-1180</t>
  </si>
  <si>
    <t>Belgium</t>
  </si>
  <si>
    <t>Mère Paillarde</t>
  </si>
  <si>
    <t>Jean Fresnière</t>
  </si>
  <si>
    <t>Montréal</t>
  </si>
  <si>
    <t>H1J 1C3</t>
  </si>
  <si>
    <t>Morgenstern Gesundkost</t>
  </si>
  <si>
    <t>Alexander Feuer</t>
  </si>
  <si>
    <t>Leipzig</t>
  </si>
  <si>
    <t>04179</t>
  </si>
  <si>
    <t>North/South</t>
  </si>
  <si>
    <t>Simon Crowther</t>
  </si>
  <si>
    <t>SW7 1RZ</t>
  </si>
  <si>
    <t>Océano Atlántico Ltda.</t>
  </si>
  <si>
    <t>Yvonne Moncada</t>
  </si>
  <si>
    <t>Paris</t>
  </si>
  <si>
    <t>Pericles Comidas clásicas</t>
  </si>
  <si>
    <t>Guillermo Fernández</t>
  </si>
  <si>
    <t>05033</t>
  </si>
  <si>
    <t>Piccolo und mehr</t>
  </si>
  <si>
    <t>Georg Pipps</t>
  </si>
  <si>
    <t>Salzburg</t>
  </si>
  <si>
    <t>5020</t>
  </si>
  <si>
    <t>Princesa Isabel Vinhos</t>
  </si>
  <si>
    <t>Isabel de Castro</t>
  </si>
  <si>
    <t>1756</t>
  </si>
  <si>
    <t>Que Delícia</t>
  </si>
  <si>
    <t>Bernardo Batista</t>
  </si>
  <si>
    <t>02389-673</t>
  </si>
  <si>
    <t>Queen Cozinha</t>
  </si>
  <si>
    <t>Lúcia Carvalho</t>
  </si>
  <si>
    <t>05487-020</t>
  </si>
  <si>
    <t>QUICK-Stop</t>
  </si>
  <si>
    <t>Horst Kloss</t>
  </si>
  <si>
    <t>Cunewalde</t>
  </si>
  <si>
    <t>01307</t>
  </si>
  <si>
    <t>Rancho grande</t>
  </si>
  <si>
    <t>Sergio Gutiérrez</t>
  </si>
  <si>
    <t>Rattlesnake Canyon Grocery</t>
  </si>
  <si>
    <t>Paula Wilson</t>
  </si>
  <si>
    <t>Assistant Sales Representative</t>
  </si>
  <si>
    <t>Albuquerque</t>
  </si>
  <si>
    <t>87110</t>
  </si>
  <si>
    <t>Reggiani Caseifici</t>
  </si>
  <si>
    <t>Maurizio Moroni</t>
  </si>
  <si>
    <t>Reggio Emilia</t>
  </si>
  <si>
    <t>42100</t>
  </si>
  <si>
    <t>Ricardo Adocicados</t>
  </si>
  <si>
    <t>Janete Limeira</t>
  </si>
  <si>
    <t>02389-890</t>
  </si>
  <si>
    <t>Richter Supermarkt</t>
  </si>
  <si>
    <t>Michael Holz</t>
  </si>
  <si>
    <t>Genève</t>
  </si>
  <si>
    <t>1203</t>
  </si>
  <si>
    <t>Romero y tomillo</t>
  </si>
  <si>
    <t>Alejandra Camino</t>
  </si>
  <si>
    <t>28001</t>
  </si>
  <si>
    <t>Santé Gourmet</t>
  </si>
  <si>
    <t>Jonas Bergulfsen</t>
  </si>
  <si>
    <t>Stavern</t>
  </si>
  <si>
    <t>4110</t>
  </si>
  <si>
    <t>Norway</t>
  </si>
  <si>
    <t>Save-a-lot Markets</t>
  </si>
  <si>
    <t>Jose Pavarotti</t>
  </si>
  <si>
    <t>83720</t>
  </si>
  <si>
    <t>Seven Seas Imports</t>
  </si>
  <si>
    <t>Hari Kumar</t>
  </si>
  <si>
    <t>OX15 4NB</t>
  </si>
  <si>
    <t>Simons bistro</t>
  </si>
  <si>
    <t>Jytte Petersen</t>
  </si>
  <si>
    <t>København</t>
  </si>
  <si>
    <t>1734</t>
  </si>
  <si>
    <t>Denmark</t>
  </si>
  <si>
    <t>Spécialités du monde</t>
  </si>
  <si>
    <t>Dominique Perrier</t>
  </si>
  <si>
    <t>75016</t>
  </si>
  <si>
    <t>Split Rail Beer &amp; Ale</t>
  </si>
  <si>
    <t>Art Braunschweiger</t>
  </si>
  <si>
    <t>82520</t>
  </si>
  <si>
    <t>Suprêmes délices</t>
  </si>
  <si>
    <t>Pascale Cartrain</t>
  </si>
  <si>
    <t>Charleroi</t>
  </si>
  <si>
    <t>B-6000</t>
  </si>
  <si>
    <t>The Big Cheese</t>
  </si>
  <si>
    <t>Liz Nixon</t>
  </si>
  <si>
    <t>97201</t>
  </si>
  <si>
    <t>The Cracker Box</t>
  </si>
  <si>
    <t>Liu Wong</t>
  </si>
  <si>
    <t>Butte</t>
  </si>
  <si>
    <t>59801</t>
  </si>
  <si>
    <t>Toms Spezialitäten</t>
  </si>
  <si>
    <t>Karin Josephs</t>
  </si>
  <si>
    <t>Münster</t>
  </si>
  <si>
    <t>44087</t>
  </si>
  <si>
    <t>Tortuga Restaurante</t>
  </si>
  <si>
    <t>Miguel Angel Paolino</t>
  </si>
  <si>
    <t>Tradição Hipermercados</t>
  </si>
  <si>
    <t>Anabela Domingues</t>
  </si>
  <si>
    <t>05634-030</t>
  </si>
  <si>
    <t>Trail's Head Gourmet Provisioners</t>
  </si>
  <si>
    <t>Helvetius Nagy</t>
  </si>
  <si>
    <t>Kirkland</t>
  </si>
  <si>
    <t>98034</t>
  </si>
  <si>
    <t>Vaffeljernet</t>
  </si>
  <si>
    <t>Palle Ibsen</t>
  </si>
  <si>
    <t>Århus</t>
  </si>
  <si>
    <t>8200</t>
  </si>
  <si>
    <t>Victuailles en stock</t>
  </si>
  <si>
    <t>Mary Saveley</t>
  </si>
  <si>
    <t>Lyon</t>
  </si>
  <si>
    <t>69004</t>
  </si>
  <si>
    <t>Vins et alcools Chevalier</t>
  </si>
  <si>
    <t>Paul Henriot</t>
  </si>
  <si>
    <t>Reims</t>
  </si>
  <si>
    <t>51100</t>
  </si>
  <si>
    <t>Die Wandernde Kuh</t>
  </si>
  <si>
    <t>Rita Müller</t>
  </si>
  <si>
    <t>Stuttgart</t>
  </si>
  <si>
    <t>70563</t>
  </si>
  <si>
    <t>Wartian Herkku</t>
  </si>
  <si>
    <t>Pirkko Koskitalo</t>
  </si>
  <si>
    <t>Oulu</t>
  </si>
  <si>
    <t>90110</t>
  </si>
  <si>
    <t>Finland</t>
  </si>
  <si>
    <t>Wellington Importadora</t>
  </si>
  <si>
    <t>Paula Parente</t>
  </si>
  <si>
    <t>Resende</t>
  </si>
  <si>
    <t>08737-363</t>
  </si>
  <si>
    <t>White Clover Markets</t>
  </si>
  <si>
    <t>Karl Jablonski</t>
  </si>
  <si>
    <t>Seattle</t>
  </si>
  <si>
    <t>98128</t>
  </si>
  <si>
    <t>Wilman Kala</t>
  </si>
  <si>
    <t>Matti Karttunen</t>
  </si>
  <si>
    <t>Owner/Marketing Assistant</t>
  </si>
  <si>
    <t>Helsinki</t>
  </si>
  <si>
    <t>21240</t>
  </si>
  <si>
    <t>Wolski  Zajazd</t>
  </si>
  <si>
    <t>Zbyszek Piestrzeniewicz</t>
  </si>
  <si>
    <t>Warszawa</t>
  </si>
  <si>
    <t>01-012</t>
  </si>
  <si>
    <t>Poland</t>
  </si>
  <si>
    <t>Företag</t>
  </si>
  <si>
    <t>Kontaktperson</t>
  </si>
  <si>
    <t>Stad</t>
  </si>
  <si>
    <t>Postnr</t>
  </si>
  <si>
    <t>Ordervärde</t>
  </si>
  <si>
    <t>Land för antal i lager</t>
  </si>
  <si>
    <t>Nya zeeland</t>
  </si>
  <si>
    <t>SummaOm Land</t>
  </si>
  <si>
    <t>Bruttolön</t>
  </si>
  <si>
    <t>Kommunalskatt</t>
  </si>
  <si>
    <t>Skatt</t>
  </si>
  <si>
    <t>Nettolön</t>
  </si>
  <si>
    <t>Ordernr</t>
  </si>
  <si>
    <t>Vara</t>
  </si>
  <si>
    <t>Belopp</t>
  </si>
  <si>
    <t>Månad</t>
  </si>
  <si>
    <t>Säljare</t>
  </si>
  <si>
    <t>Distrikt</t>
  </si>
  <si>
    <t>Budget</t>
  </si>
  <si>
    <t>Kalle</t>
  </si>
  <si>
    <t>Norr</t>
  </si>
  <si>
    <t>Februari</t>
  </si>
  <si>
    <t>Ulla</t>
  </si>
  <si>
    <t>Syd</t>
  </si>
  <si>
    <t>Sven</t>
  </si>
  <si>
    <t>Mitt</t>
  </si>
  <si>
    <t>Mars</t>
  </si>
  <si>
    <t>April</t>
  </si>
  <si>
    <t>Maj</t>
  </si>
  <si>
    <t>Juni</t>
  </si>
  <si>
    <t>Augusti</t>
  </si>
  <si>
    <t>September</t>
  </si>
  <si>
    <t>Oktober</t>
  </si>
  <si>
    <t>November</t>
  </si>
  <si>
    <t>Ekonomi</t>
  </si>
  <si>
    <t>Januari</t>
  </si>
  <si>
    <t>Elegant</t>
  </si>
  <si>
    <t>Peter</t>
  </si>
  <si>
    <t>Europa</t>
  </si>
  <si>
    <t>Stjärna</t>
  </si>
  <si>
    <t>Avstånd (Ly)</t>
  </si>
  <si>
    <t>Hastighet (Km/h)</t>
  </si>
  <si>
    <t>Restid (År)</t>
  </si>
  <si>
    <t>Alfa C</t>
  </si>
  <si>
    <t>Sirius</t>
  </si>
  <si>
    <t>Rigel</t>
  </si>
  <si>
    <t>Totalskatt</t>
  </si>
  <si>
    <t>Skatteprocent</t>
  </si>
  <si>
    <t>januari</t>
  </si>
  <si>
    <t>DAntal</t>
  </si>
  <si>
    <t>DSumma</t>
  </si>
  <si>
    <t>Dmax</t>
  </si>
  <si>
    <t>Kolla saldo</t>
  </si>
  <si>
    <t>Om minsta värdet på</t>
  </si>
  <si>
    <t xml:space="preserve">flaskor i lager för något </t>
  </si>
  <si>
    <t>vin understiger 10</t>
  </si>
  <si>
    <t>skall vi få en varning</t>
  </si>
  <si>
    <t>=IF(MIN(E2:E12)&lt;10;"Kolla lagersaldo";"Lagret är OK")</t>
  </si>
  <si>
    <t>Övre brytpunkt</t>
  </si>
  <si>
    <t>Lägre brytpunkt</t>
  </si>
  <si>
    <t>Match (Leta rad))</t>
  </si>
  <si>
    <t>Kolla belopp (OM)</t>
  </si>
  <si>
    <t>Datum</t>
  </si>
  <si>
    <t>Anstsnr</t>
  </si>
  <si>
    <t>Avdelning</t>
  </si>
  <si>
    <t>Förnamn</t>
  </si>
  <si>
    <t>Efternamn</t>
  </si>
  <si>
    <t>Personnr</t>
  </si>
  <si>
    <t>Adress</t>
  </si>
  <si>
    <t>Ort</t>
  </si>
  <si>
    <t>Månadslön</t>
  </si>
  <si>
    <t>Administration</t>
  </si>
  <si>
    <t>Nobling</t>
  </si>
  <si>
    <t>Ingens väg 4</t>
  </si>
  <si>
    <t>Göteborg</t>
  </si>
  <si>
    <t>Lajla</t>
  </si>
  <si>
    <t>Nyström</t>
  </si>
  <si>
    <t>Sega backen 13</t>
  </si>
  <si>
    <t>Maria</t>
  </si>
  <si>
    <t>Ohlén</t>
  </si>
  <si>
    <t>Festivalgatan 14</t>
  </si>
  <si>
    <t>Agneta</t>
  </si>
  <si>
    <t>Svenovius</t>
  </si>
  <si>
    <t>Dödens väg 8</t>
  </si>
  <si>
    <t>Staffan</t>
  </si>
  <si>
    <t>Adelsman</t>
  </si>
  <si>
    <t>Adelsnäs herrgård</t>
  </si>
  <si>
    <t>Rebecka</t>
  </si>
  <si>
    <t>Solstråle</t>
  </si>
  <si>
    <t>Lustigkurrevägen 44</t>
  </si>
  <si>
    <t>Anna-Greta</t>
  </si>
  <si>
    <t>Särnö</t>
  </si>
  <si>
    <t>Livets väg 1</t>
  </si>
  <si>
    <t>Malmö</t>
  </si>
  <si>
    <t>Jolanta</t>
  </si>
  <si>
    <t>Basai</t>
  </si>
  <si>
    <t>Eremitvägen 1</t>
  </si>
  <si>
    <t>Niclas</t>
  </si>
  <si>
    <t>Sandström</t>
  </si>
  <si>
    <t>Tomma gatan 0</t>
  </si>
  <si>
    <t>Joel</t>
  </si>
  <si>
    <t>Gren</t>
  </si>
  <si>
    <t>Helgonvägen 3</t>
  </si>
  <si>
    <t>Ove</t>
  </si>
  <si>
    <t>Darr</t>
  </si>
  <si>
    <t>Moderna gatan 2</t>
  </si>
  <si>
    <t>Rittsél</t>
  </si>
  <si>
    <t>Datorgatan 8</t>
  </si>
  <si>
    <t>Stockholm</t>
  </si>
  <si>
    <t>Petronella</t>
  </si>
  <si>
    <t>Scherman</t>
  </si>
  <si>
    <t>Lexusgatan 9</t>
  </si>
  <si>
    <t>Anders</t>
  </si>
  <si>
    <t>Pettersson</t>
  </si>
  <si>
    <t>Potatisvägen 10</t>
  </si>
  <si>
    <t>Ann-Helene</t>
  </si>
  <si>
    <t>Hallqvist</t>
  </si>
  <si>
    <t>Semestergatan 3</t>
  </si>
  <si>
    <t>Alfredo</t>
  </si>
  <si>
    <t>Jarkiewicz</t>
  </si>
  <si>
    <t>Kursgatan 3</t>
  </si>
  <si>
    <t>Butik</t>
  </si>
  <si>
    <t>Lars</t>
  </si>
  <si>
    <t>Ekdahl</t>
  </si>
  <si>
    <t>Matglada gatan 5</t>
  </si>
  <si>
    <t>Johanna</t>
  </si>
  <si>
    <t>Liedström</t>
  </si>
  <si>
    <t>Favoritgatan 2</t>
  </si>
  <si>
    <t>Ivan</t>
  </si>
  <si>
    <t>Nilsson</t>
  </si>
  <si>
    <t>Tiramisugatan 4</t>
  </si>
  <si>
    <t>Sundbom</t>
  </si>
  <si>
    <t>Monsterstigen 12</t>
  </si>
  <si>
    <t>Linn</t>
  </si>
  <si>
    <t>Lort</t>
  </si>
  <si>
    <t>Smutsiga gatan 11</t>
  </si>
  <si>
    <t>Eva</t>
  </si>
  <si>
    <t>Lat</t>
  </si>
  <si>
    <t>Lättjagränd 8</t>
  </si>
  <si>
    <t>Jeanette</t>
  </si>
  <si>
    <t>Sjöstrand</t>
  </si>
  <si>
    <t>Havsgränd 18</t>
  </si>
  <si>
    <t>Ylva</t>
  </si>
  <si>
    <t>Svedjeby</t>
  </si>
  <si>
    <t>Bläckfiskgatan 1</t>
  </si>
  <si>
    <t>Wihlborg</t>
  </si>
  <si>
    <t>Översvämmad väg 20</t>
  </si>
  <si>
    <t>Ekehammar</t>
  </si>
  <si>
    <t>Fetmavägen 13</t>
  </si>
  <si>
    <t>Gustav</t>
  </si>
  <si>
    <t>Åsberg</t>
  </si>
  <si>
    <t>Trånga gatan 1</t>
  </si>
  <si>
    <t>Torulf</t>
  </si>
  <si>
    <t>Källström</t>
  </si>
  <si>
    <t>ljhljh345hjb</t>
  </si>
  <si>
    <t>Ytlighetsgränd 18</t>
  </si>
  <si>
    <t>Karolina</t>
  </si>
  <si>
    <t>Lantzourakis</t>
  </si>
  <si>
    <t>Depressionsgränd 13</t>
  </si>
  <si>
    <t>Elin</t>
  </si>
  <si>
    <t>Maurer</t>
  </si>
  <si>
    <t>Paradisvägen 50</t>
  </si>
  <si>
    <t>Per</t>
  </si>
  <si>
    <t>Björk</t>
  </si>
  <si>
    <t>Grodlårsgränd 20</t>
  </si>
  <si>
    <t>Sune</t>
  </si>
  <si>
    <t>Leanderson</t>
  </si>
  <si>
    <t>Cellulitvägen 2</t>
  </si>
  <si>
    <t>Stig</t>
  </si>
  <si>
    <t>Wiberg</t>
  </si>
  <si>
    <t>Flitiga gatan 2</t>
  </si>
  <si>
    <t xml:space="preserve">Fariba </t>
  </si>
  <si>
    <t>Sura gatan 16</t>
  </si>
  <si>
    <t>Josephine</t>
  </si>
  <si>
    <t>Widén</t>
  </si>
  <si>
    <t>Psykologivägen 1 b</t>
  </si>
  <si>
    <t>Hampus</t>
  </si>
  <si>
    <t>Hedlund</t>
  </si>
  <si>
    <t>Slängvägen 13</t>
  </si>
  <si>
    <t>Veronica</t>
  </si>
  <si>
    <t>Häggblom</t>
  </si>
  <si>
    <t>Eksemvägen 2</t>
  </si>
  <si>
    <t>Greta</t>
  </si>
  <si>
    <t>Montgomery</t>
  </si>
  <si>
    <t>Bondstigen 1</t>
  </si>
  <si>
    <t>Petter</t>
  </si>
  <si>
    <t>Pihl</t>
  </si>
  <si>
    <t>Gånggatan 2</t>
  </si>
  <si>
    <t>Simonsson</t>
  </si>
  <si>
    <t>Mordgränd 6</t>
  </si>
  <si>
    <t>Larsson</t>
  </si>
  <si>
    <t>Rikemansvägen 9</t>
  </si>
  <si>
    <t>Christina</t>
  </si>
  <si>
    <t>Appelgren</t>
  </si>
  <si>
    <t>Ytliga gatan 2</t>
  </si>
  <si>
    <t>Ann-Britt</t>
  </si>
  <si>
    <t>Sjöström</t>
  </si>
  <si>
    <t>Stinkvägen 8</t>
  </si>
  <si>
    <t>Stefan</t>
  </si>
  <si>
    <t>Sundström</t>
  </si>
  <si>
    <t>Kalopsgatan 13</t>
  </si>
  <si>
    <t>Pia</t>
  </si>
  <si>
    <t>Kanebo</t>
  </si>
  <si>
    <t>Latmaskvägen 2</t>
  </si>
  <si>
    <t>Daniel</t>
  </si>
  <si>
    <t>Svart</t>
  </si>
  <si>
    <t>Mörka stigen 9</t>
  </si>
  <si>
    <t>Tim</t>
  </si>
  <si>
    <t>Jensen</t>
  </si>
  <si>
    <t>Idolvägen 8</t>
  </si>
  <si>
    <t>Fredrik</t>
  </si>
  <si>
    <t>Lundqvist</t>
  </si>
  <si>
    <t>Glädjestigen 12</t>
  </si>
  <si>
    <t>Harald</t>
  </si>
  <si>
    <t>Isvägen 18</t>
  </si>
  <si>
    <t>Jakob</t>
  </si>
  <si>
    <t>Hellqvist</t>
  </si>
  <si>
    <t>Gräddiga gatan 4</t>
  </si>
  <si>
    <t>Gabriella</t>
  </si>
  <si>
    <t>Gudmunsdottir</t>
  </si>
  <si>
    <t>Polkagrisgränd 7</t>
  </si>
  <si>
    <t>Uma</t>
  </si>
  <si>
    <t>Åskmoln</t>
  </si>
  <si>
    <t>Studerandevägen 6</t>
  </si>
  <si>
    <t>Karl</t>
  </si>
  <si>
    <t>Stadig</t>
  </si>
  <si>
    <t>Lexicongatan 18</t>
  </si>
  <si>
    <t>Margareta</t>
  </si>
  <si>
    <t>Olin</t>
  </si>
  <si>
    <t>Snålvägen 1</t>
  </si>
  <si>
    <t>Victoria</t>
  </si>
  <si>
    <t>Blixt</t>
  </si>
  <si>
    <t>Hungriga gatan 2</t>
  </si>
  <si>
    <t>Gun-Britt</t>
  </si>
  <si>
    <t>Ren</t>
  </si>
  <si>
    <t>Stollegatan 10</t>
  </si>
  <si>
    <t>Bianca</t>
  </si>
  <si>
    <t>Kämpe</t>
  </si>
  <si>
    <t>Trofasthetvägen 1</t>
  </si>
  <si>
    <t>Tommy</t>
  </si>
  <si>
    <t>Svensson</t>
  </si>
  <si>
    <t>Händiga gatan 2</t>
  </si>
  <si>
    <t>Marita</t>
  </si>
  <si>
    <t>Söderberg</t>
  </si>
  <si>
    <t>Skojvägen 4</t>
  </si>
  <si>
    <t>Mats</t>
  </si>
  <si>
    <t>Söderström</t>
  </si>
  <si>
    <t>Nödvägen 8</t>
  </si>
  <si>
    <t>Leif</t>
  </si>
  <si>
    <t>Westlund</t>
  </si>
  <si>
    <t>Sista gatan 3</t>
  </si>
  <si>
    <t>Lina</t>
  </si>
  <si>
    <t>Ulander</t>
  </si>
  <si>
    <t>Undervattensväg 9</t>
  </si>
  <si>
    <t>Bohlin</t>
  </si>
  <si>
    <t>Hopparegränd 3</t>
  </si>
  <si>
    <t>Joacim</t>
  </si>
  <si>
    <t>Engdahl</t>
  </si>
  <si>
    <t>Dåsighetsgränd 4</t>
  </si>
  <si>
    <t>Ola</t>
  </si>
  <si>
    <t>Elofsson</t>
  </si>
  <si>
    <t>Snurriga gatan 3</t>
  </si>
  <si>
    <t>Almqvist</t>
  </si>
  <si>
    <t>Galtvägen 4</t>
  </si>
  <si>
    <t>Eriksson</t>
  </si>
  <si>
    <t>Sjusovargränd 8</t>
  </si>
  <si>
    <t>Hedvig</t>
  </si>
  <si>
    <t>Karavanvägen 4</t>
  </si>
  <si>
    <t>Jan</t>
  </si>
  <si>
    <t>Lagerheim</t>
  </si>
  <si>
    <t>Trevlighetsstigen 5</t>
  </si>
  <si>
    <t>Tord</t>
  </si>
  <si>
    <t>Ravegård</t>
  </si>
  <si>
    <t>Sommarvägen 1</t>
  </si>
  <si>
    <t>Ramonita</t>
  </si>
  <si>
    <t>Rignell</t>
  </si>
  <si>
    <t>Vintergatan 20</t>
  </si>
  <si>
    <t>Viveca</t>
  </si>
  <si>
    <t>Silfverhielm</t>
  </si>
  <si>
    <t>Trattkantarellvägen 7</t>
  </si>
  <si>
    <t>Linnea</t>
  </si>
  <si>
    <t>Lusgatan 2</t>
  </si>
  <si>
    <t>Lotta</t>
  </si>
  <si>
    <t>Johansson</t>
  </si>
  <si>
    <t>Fattiga gatan 3</t>
  </si>
  <si>
    <t>Mona</t>
  </si>
  <si>
    <t>Hansson</t>
  </si>
  <si>
    <t>Myggstigen 4</t>
  </si>
  <si>
    <t>Anne</t>
  </si>
  <si>
    <t>Kraft</t>
  </si>
  <si>
    <t>Glömska gatan 2</t>
  </si>
  <si>
    <t>IT</t>
  </si>
  <si>
    <t>Djuriska stigen 7</t>
  </si>
  <si>
    <t>Ted</t>
  </si>
  <si>
    <t>Tegner</t>
  </si>
  <si>
    <t>Plaskgatan 6</t>
  </si>
  <si>
    <t>Ibrahim</t>
  </si>
  <si>
    <t>Kafka</t>
  </si>
  <si>
    <t>Nykterhetsvägen 7 a</t>
  </si>
  <si>
    <t>Tomas</t>
  </si>
  <si>
    <t>Gregerson</t>
  </si>
  <si>
    <t>Ormstigen 1</t>
  </si>
  <si>
    <t>Lager</t>
  </si>
  <si>
    <t>Emma</t>
  </si>
  <si>
    <t>Dahlén</t>
  </si>
  <si>
    <t>Gäddhängsgatan 2</t>
  </si>
  <si>
    <t>Johan</t>
  </si>
  <si>
    <t>Duvnäs</t>
  </si>
  <si>
    <t>Urmakargatan 14</t>
  </si>
  <si>
    <t>Tanja</t>
  </si>
  <si>
    <t>Lindblom</t>
  </si>
  <si>
    <t>ljhb345345345</t>
  </si>
  <si>
    <t>Otursvägen 13</t>
  </si>
  <si>
    <t>Mattias</t>
  </si>
  <si>
    <t>Lindfeldt</t>
  </si>
  <si>
    <t>Blixtgatan 5</t>
  </si>
  <si>
    <t>Oskar</t>
  </si>
  <si>
    <t>Lisinski</t>
  </si>
  <si>
    <t>Evighetsgränd 1009</t>
  </si>
  <si>
    <t>Yngve</t>
  </si>
  <si>
    <t>Wiedenborg</t>
  </si>
  <si>
    <t>Lyckliga gatan 7</t>
  </si>
  <si>
    <t>Johannes</t>
  </si>
  <si>
    <t>Fransen</t>
  </si>
  <si>
    <t>Tapperhetsgatan 17 b</t>
  </si>
  <si>
    <t>Ida</t>
  </si>
  <si>
    <t>Antonsson</t>
  </si>
  <si>
    <t>Pastavägen 7</t>
  </si>
  <si>
    <t>Simon</t>
  </si>
  <si>
    <t>Karlsson</t>
  </si>
  <si>
    <t>Skolgatan 3</t>
  </si>
  <si>
    <t>Mörk</t>
  </si>
  <si>
    <t>Hemsökta gatan 666</t>
  </si>
  <si>
    <t>Göta</t>
  </si>
  <si>
    <t>Bronge</t>
  </si>
  <si>
    <t>Paltgatan 1</t>
  </si>
  <si>
    <t>Haglund</t>
  </si>
  <si>
    <t>Maniska gatan 15</t>
  </si>
  <si>
    <t>Paulina</t>
  </si>
  <si>
    <t>Blajgatan 5</t>
  </si>
  <si>
    <t>Mikael</t>
  </si>
  <si>
    <t>Llanos</t>
  </si>
  <si>
    <t>Älgstigen 12</t>
  </si>
  <si>
    <t>Irma</t>
  </si>
  <si>
    <t>Uppling</t>
  </si>
  <si>
    <t>Kärleksgränd 4</t>
  </si>
  <si>
    <t>Deborah</t>
  </si>
  <si>
    <t>Duglighetsgatan 77</t>
  </si>
  <si>
    <t>Andreas</t>
  </si>
  <si>
    <t>Smith</t>
  </si>
  <si>
    <t>Eländiga gatan 1</t>
  </si>
  <si>
    <t>Lisa</t>
  </si>
  <si>
    <t>Cassel</t>
  </si>
  <si>
    <t>Ostkakevägen 9</t>
  </si>
  <si>
    <t>Per-Åke</t>
  </si>
  <si>
    <t>Gottfridsson</t>
  </si>
  <si>
    <t>Glada gatan 9</t>
  </si>
  <si>
    <t>Ivar</t>
  </si>
  <si>
    <t>Gräntz</t>
  </si>
  <si>
    <t>Raserivägen 16</t>
  </si>
  <si>
    <t>Istvan</t>
  </si>
  <si>
    <t>Göransson</t>
  </si>
  <si>
    <t>Tandläkargränd 9</t>
  </si>
  <si>
    <t>Ikhief</t>
  </si>
  <si>
    <t>jhgfjhgfj</t>
  </si>
  <si>
    <t>Idisslarstigen 4</t>
  </si>
  <si>
    <t>Överraskningsstigen 9</t>
  </si>
  <si>
    <t>Magnus</t>
  </si>
  <si>
    <t>Excelgatan 3</t>
  </si>
  <si>
    <t>Ali</t>
  </si>
  <si>
    <t>Onyango</t>
  </si>
  <si>
    <t>Kartonggatan 19</t>
  </si>
  <si>
    <t>Charlie</t>
  </si>
  <si>
    <t>Thompson</t>
  </si>
  <si>
    <t>Smutsiga gatan 8</t>
  </si>
  <si>
    <t>Pauli</t>
  </si>
  <si>
    <t>Cykelvägen 4</t>
  </si>
  <si>
    <t>Urban</t>
  </si>
  <si>
    <t>Perotti</t>
  </si>
  <si>
    <t>jkhjkh345345</t>
  </si>
  <si>
    <t>Skogsstigen 9</t>
  </si>
  <si>
    <t>Muhammed</t>
  </si>
  <si>
    <t>Westerberg</t>
  </si>
  <si>
    <t>Vännernas väg 7</t>
  </si>
  <si>
    <t>Helené</t>
  </si>
  <si>
    <t>Olsson</t>
  </si>
  <si>
    <t>Urbaniseringsvägen 90</t>
  </si>
  <si>
    <t>Beatrice</t>
  </si>
  <si>
    <t>Axelsson</t>
  </si>
  <si>
    <t>Katarrstigen 18</t>
  </si>
  <si>
    <t>Afrikastigen 2</t>
  </si>
  <si>
    <t>Hugo</t>
  </si>
  <si>
    <t>Medholm</t>
  </si>
  <si>
    <t>Stormgatan 7</t>
  </si>
  <si>
    <t>Göteborg Total</t>
  </si>
  <si>
    <t>Malmö Total</t>
  </si>
  <si>
    <t>Stockholm Total</t>
  </si>
  <si>
    <t>Grand Total</t>
  </si>
  <si>
    <t>Göteborg Average</t>
  </si>
  <si>
    <t>Malmö Average</t>
  </si>
  <si>
    <t>Stockholm Average</t>
  </si>
  <si>
    <t>Grand Average</t>
  </si>
  <si>
    <t>Totalt</t>
  </si>
  <si>
    <t>Delsumma</t>
  </si>
  <si>
    <t>Procent</t>
  </si>
  <si>
    <t>Ana</t>
  </si>
  <si>
    <t>Trujillo</t>
  </si>
  <si>
    <t>Antonio</t>
  </si>
  <si>
    <t>Moreno</t>
  </si>
  <si>
    <t>Thomas</t>
  </si>
  <si>
    <t>Hardy</t>
  </si>
  <si>
    <t>Berglund</t>
  </si>
  <si>
    <t>Hanna</t>
  </si>
  <si>
    <t>Moos</t>
  </si>
  <si>
    <t>Frédérique</t>
  </si>
  <si>
    <t>Citeaux</t>
  </si>
  <si>
    <t>Martín</t>
  </si>
  <si>
    <t>Sommer</t>
  </si>
  <si>
    <t>Laurence</t>
  </si>
  <si>
    <t>Lebihan</t>
  </si>
  <si>
    <t>Elizabeth</t>
  </si>
  <si>
    <t>Lincoln</t>
  </si>
  <si>
    <t>Ashworth</t>
  </si>
  <si>
    <t>Patricio</t>
  </si>
  <si>
    <t>Simpson</t>
  </si>
  <si>
    <t>Francisco</t>
  </si>
  <si>
    <t>Chang</t>
  </si>
  <si>
    <t>Yang</t>
  </si>
  <si>
    <t>Wang</t>
  </si>
  <si>
    <t>Pedro</t>
  </si>
  <si>
    <t>Afonso</t>
  </si>
  <si>
    <t>Brown</t>
  </si>
  <si>
    <t>Rita</t>
  </si>
  <si>
    <t>Müller</t>
  </si>
  <si>
    <t>Ottlieb</t>
  </si>
  <si>
    <t>Janine</t>
  </si>
  <si>
    <t>Labrune</t>
  </si>
  <si>
    <t>Roland</t>
  </si>
  <si>
    <t>Mendel</t>
  </si>
  <si>
    <t>Aria</t>
  </si>
  <si>
    <t>Cruz</t>
  </si>
  <si>
    <t>Diego</t>
  </si>
  <si>
    <t>Roel</t>
  </si>
  <si>
    <t>Martine</t>
  </si>
  <si>
    <t>Rancé</t>
  </si>
  <si>
    <t>Carine</t>
  </si>
  <si>
    <t>Schmitt</t>
  </si>
  <si>
    <t>Paolo</t>
  </si>
  <si>
    <t>Accorti</t>
  </si>
  <si>
    <t>Franken</t>
  </si>
  <si>
    <t>Lino</t>
  </si>
  <si>
    <t>Rodriguez</t>
  </si>
  <si>
    <t>Eduardo</t>
  </si>
  <si>
    <t>Saavedra</t>
  </si>
  <si>
    <t>José</t>
  </si>
  <si>
    <t>Freyre</t>
  </si>
  <si>
    <t>André</t>
  </si>
  <si>
    <t>Fonseca</t>
  </si>
  <si>
    <t>Howard</t>
  </si>
  <si>
    <t>Snyder</t>
  </si>
  <si>
    <t>Carlos</t>
  </si>
  <si>
    <t>Hernández</t>
  </si>
  <si>
    <t>Yoshi</t>
  </si>
  <si>
    <t>Latimer</t>
  </si>
  <si>
    <t>Patricia</t>
  </si>
  <si>
    <t>McKenna</t>
  </si>
  <si>
    <t>Helen</t>
  </si>
  <si>
    <t>Bennett</t>
  </si>
  <si>
    <t>Philip</t>
  </si>
  <si>
    <t>Cramer</t>
  </si>
  <si>
    <t>Tonini</t>
  </si>
  <si>
    <t>Annette</t>
  </si>
  <si>
    <t>Roulet</t>
  </si>
  <si>
    <t>Tannamuri</t>
  </si>
  <si>
    <t>John</t>
  </si>
  <si>
    <t>Steel</t>
  </si>
  <si>
    <t>Renate</t>
  </si>
  <si>
    <t>Messner</t>
  </si>
  <si>
    <t>Jaime</t>
  </si>
  <si>
    <t>Yorres</t>
  </si>
  <si>
    <t>González</t>
  </si>
  <si>
    <t>Fran</t>
  </si>
  <si>
    <t>Wilson</t>
  </si>
  <si>
    <t>Giovanni</t>
  </si>
  <si>
    <t>Rovelli</t>
  </si>
  <si>
    <t>Catherine</t>
  </si>
  <si>
    <t>Dewey</t>
  </si>
  <si>
    <t>Jean</t>
  </si>
  <si>
    <t>Fresnière</t>
  </si>
  <si>
    <t>Alexander</t>
  </si>
  <si>
    <t>Feuer</t>
  </si>
  <si>
    <t>Crowther</t>
  </si>
  <si>
    <t>Yvonne</t>
  </si>
  <si>
    <t>Moncada</t>
  </si>
  <si>
    <t>Guillermo</t>
  </si>
  <si>
    <t>Fernández</t>
  </si>
  <si>
    <t>Georg</t>
  </si>
  <si>
    <t>Pipps</t>
  </si>
  <si>
    <t>Isabel</t>
  </si>
  <si>
    <t>de</t>
  </si>
  <si>
    <t>Castro</t>
  </si>
  <si>
    <t>Bernardo</t>
  </si>
  <si>
    <t>Batista</t>
  </si>
  <si>
    <t>Lúcia</t>
  </si>
  <si>
    <t>Carvalho</t>
  </si>
  <si>
    <t>Horst</t>
  </si>
  <si>
    <t>Kloss</t>
  </si>
  <si>
    <t>Sergio</t>
  </si>
  <si>
    <t>Gutiérrez</t>
  </si>
  <si>
    <t>Paula</t>
  </si>
  <si>
    <t>Maurizio</t>
  </si>
  <si>
    <t>Moroni</t>
  </si>
  <si>
    <t>Janete</t>
  </si>
  <si>
    <t>Limeira</t>
  </si>
  <si>
    <t>Michael</t>
  </si>
  <si>
    <t>Holz</t>
  </si>
  <si>
    <t>Alejandra</t>
  </si>
  <si>
    <t>Camino</t>
  </si>
  <si>
    <t>Jonas</t>
  </si>
  <si>
    <t>Bergulfsen</t>
  </si>
  <si>
    <t>Jose</t>
  </si>
  <si>
    <t>Pavarotti</t>
  </si>
  <si>
    <t>Hari</t>
  </si>
  <si>
    <t>Kumar</t>
  </si>
  <si>
    <t>Jytte</t>
  </si>
  <si>
    <t>Petersen</t>
  </si>
  <si>
    <t>Dominique</t>
  </si>
  <si>
    <t>Perrier</t>
  </si>
  <si>
    <t>Art</t>
  </si>
  <si>
    <t>Braunschweiger</t>
  </si>
  <si>
    <t>Pascale</t>
  </si>
  <si>
    <t>Cartrain</t>
  </si>
  <si>
    <t>Liz</t>
  </si>
  <si>
    <t>Nixon</t>
  </si>
  <si>
    <t>Liu</t>
  </si>
  <si>
    <t>Wong</t>
  </si>
  <si>
    <t>Karin</t>
  </si>
  <si>
    <t>Josephs</t>
  </si>
  <si>
    <t>Miguel</t>
  </si>
  <si>
    <t>Angel</t>
  </si>
  <si>
    <t>Paolino</t>
  </si>
  <si>
    <t>Anabela</t>
  </si>
  <si>
    <t>Domingues</t>
  </si>
  <si>
    <t>Helvetius</t>
  </si>
  <si>
    <t>Nagy</t>
  </si>
  <si>
    <t>Palle</t>
  </si>
  <si>
    <t>Ibsen</t>
  </si>
  <si>
    <t>Pirkko</t>
  </si>
  <si>
    <t>Koskitalo</t>
  </si>
  <si>
    <t>Parente</t>
  </si>
  <si>
    <t>Jablonski</t>
  </si>
  <si>
    <t>Mary</t>
  </si>
  <si>
    <t>Saveley</t>
  </si>
  <si>
    <t>Matti</t>
  </si>
  <si>
    <t>Karttunen</t>
  </si>
  <si>
    <t>Paul</t>
  </si>
  <si>
    <t>Henriot</t>
  </si>
  <si>
    <t>Zbyszek</t>
  </si>
  <si>
    <t>Piestrzeniewicz</t>
  </si>
  <si>
    <t>Pedro Freyre</t>
  </si>
  <si>
    <t>de Castro</t>
  </si>
  <si>
    <t>Angel Paolino</t>
  </si>
  <si>
    <t>=TRIM(CONCAT(C2;" ";D2))</t>
  </si>
  <si>
    <t>Moms</t>
  </si>
  <si>
    <t>Row Labels</t>
  </si>
  <si>
    <t>Sum of Belopp</t>
  </si>
  <si>
    <t>Column Labels</t>
  </si>
  <si>
    <t>April Total</t>
  </si>
  <si>
    <t>September Total</t>
  </si>
  <si>
    <t>November Total</t>
  </si>
  <si>
    <t>Augusti Total</t>
  </si>
  <si>
    <t>Februari Total</t>
  </si>
  <si>
    <t>januari Total</t>
  </si>
  <si>
    <t>Juni Total</t>
  </si>
  <si>
    <t>Maj Total</t>
  </si>
  <si>
    <t>Mars Total</t>
  </si>
  <si>
    <t>Oktober Total</t>
  </si>
  <si>
    <t xml:space="preserve">Belopp </t>
  </si>
  <si>
    <t>Andel</t>
  </si>
  <si>
    <t>Provision2</t>
  </si>
  <si>
    <t>Beräkning i tabell</t>
  </si>
  <si>
    <t>Beräkning i Pivot</t>
  </si>
  <si>
    <t>2013</t>
  </si>
  <si>
    <t>Qtr3</t>
  </si>
  <si>
    <t>Qtr4</t>
  </si>
  <si>
    <t>2014</t>
  </si>
  <si>
    <t>Qtr1</t>
  </si>
  <si>
    <t>Qtr2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</si>
</sst>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0\ &quot;kr&quot;;[Red]\-#,##0\ &quot;kr&quot;"/>
    <numFmt numFmtId="44" formatCode="_-* #,##0.00\ &quot;kr&quot;_-;\-* #,##0.00\ &quot;kr&quot;_-;_-* &quot;-&quot;??\ &quot;kr&quot;_-;_-@_-"/>
    <numFmt numFmtId="164" formatCode="_-* #,##0\ &quot;kr&quot;_-;\-* #,##0\ &quot;kr&quot;_-;_-* &quot;-&quot;??\ &quot;kr&quot;_-;_-@_-"/>
    <numFmt numFmtId="165" formatCode="000"/>
    <numFmt numFmtId="166" formatCode="#,##0\ &quot;kr&quot;"/>
  </numFmts>
  <fonts count="24" x14ac:knownFonts="1">
    <font>
      <sz val="10"/>
      <name val="Arial"/>
    </font>
    <font>
      <sz val="10"/>
      <name val="Arial"/>
      <family val="2"/>
    </font>
    <font>
      <sz val="8"/>
      <name val="Arial"/>
      <family val="2"/>
    </font>
    <font>
      <b/>
      <sz val="12"/>
      <name val="Arial"/>
      <family val="2"/>
    </font>
    <font>
      <sz val="12"/>
      <name val="Arial"/>
      <family val="2"/>
    </font>
    <font>
      <b/>
      <sz val="12"/>
      <color indexed="18"/>
      <name val="Arial"/>
      <family val="2"/>
    </font>
    <font>
      <sz val="10"/>
      <color indexed="8"/>
      <name val="Arial"/>
      <family val="2"/>
    </font>
    <font>
      <sz val="12"/>
      <name val="Arial"/>
      <family val="2"/>
    </font>
    <font>
      <b/>
      <sz val="10"/>
      <name val="Arial"/>
      <family val="2"/>
    </font>
    <font>
      <i/>
      <sz val="16"/>
      <color indexed="10"/>
      <name val="Arial"/>
      <family val="2"/>
    </font>
    <font>
      <sz val="12"/>
      <color indexed="8"/>
      <name val="Arial"/>
      <family val="2"/>
    </font>
    <font>
      <b/>
      <sz val="14"/>
      <name val="Arial"/>
      <family val="2"/>
    </font>
    <font>
      <sz val="14"/>
      <name val="Arial"/>
      <family val="2"/>
    </font>
    <font>
      <b/>
      <sz val="12"/>
      <name val="Book Antiqua"/>
      <family val="1"/>
    </font>
    <font>
      <sz val="12"/>
      <name val="Book Antiqua"/>
      <family val="1"/>
    </font>
    <font>
      <sz val="10"/>
      <color theme="1"/>
      <name val="Arial"/>
      <family val="2"/>
    </font>
    <font>
      <sz val="18"/>
      <name val="Arial"/>
      <family val="2"/>
    </font>
    <font>
      <b/>
      <sz val="12"/>
      <color rgb="FF7030A0"/>
      <name val="Arial"/>
      <family val="2"/>
    </font>
    <font>
      <sz val="8"/>
      <name val="Arial"/>
    </font>
    <font>
      <b/>
      <sz val="18"/>
      <name val="Arial"/>
      <family val="2"/>
    </font>
    <font>
      <b/>
      <sz val="10"/>
      <color theme="1"/>
      <name val="Arial"/>
      <family val="2"/>
    </font>
    <font>
      <i/>
      <sz val="16"/>
      <color rgb="FF00B0F0"/>
      <name val="Arial"/>
      <family val="2"/>
    </font>
    <font>
      <b/>
      <sz val="16"/>
      <color rgb="FF00B0F0"/>
      <name val="Arial"/>
      <family val="2"/>
    </font>
    <font>
      <sz val="12"/>
      <color rgb="FF00B0F0"/>
      <name val="Arial"/>
      <family val="2"/>
    </font>
  </fonts>
  <fills count="10">
    <fill>
      <patternFill patternType="none"/>
    </fill>
    <fill>
      <patternFill patternType="gray125"/>
    </fill>
    <fill>
      <patternFill patternType="solid">
        <fgColor indexed="42"/>
        <bgColor indexed="64"/>
      </patternFill>
    </fill>
    <fill>
      <patternFill patternType="solid">
        <fgColor indexed="22"/>
        <bgColor indexed="0"/>
      </patternFill>
    </fill>
    <fill>
      <patternFill patternType="solid">
        <fgColor indexed="57"/>
        <bgColor indexed="64"/>
      </patternFill>
    </fill>
    <fill>
      <patternFill patternType="solid">
        <fgColor indexed="13"/>
        <bgColor indexed="64"/>
      </patternFill>
    </fill>
    <fill>
      <patternFill patternType="solid">
        <fgColor rgb="FFFFFF00"/>
        <bgColor indexed="64"/>
      </patternFill>
    </fill>
    <fill>
      <patternFill patternType="solid">
        <fgColor rgb="FFFFFF00"/>
        <bgColor indexed="0"/>
      </patternFill>
    </fill>
    <fill>
      <patternFill patternType="solid">
        <fgColor rgb="FFFFC000"/>
        <bgColor indexed="0"/>
      </patternFill>
    </fill>
    <fill>
      <patternFill patternType="solid">
        <fgColor theme="9" tint="0.79998168889431442"/>
        <bgColor indexed="0"/>
      </patternFill>
    </fill>
  </fills>
  <borders count="7">
    <border>
      <left/>
      <right/>
      <top/>
      <bottom/>
      <diagonal/>
    </border>
    <border>
      <left style="thin">
        <color indexed="22"/>
      </left>
      <right style="thin">
        <color indexed="22"/>
      </right>
      <top style="thin">
        <color indexed="22"/>
      </top>
      <bottom style="thin">
        <color indexed="22"/>
      </bottom>
      <diagonal/>
    </border>
    <border>
      <left style="thin">
        <color indexed="8"/>
      </left>
      <right style="thin">
        <color indexed="8"/>
      </right>
      <top style="thin">
        <color indexed="8"/>
      </top>
      <bottom style="thin">
        <color indexed="8"/>
      </bottom>
      <diagonal/>
    </border>
    <border>
      <left style="thin">
        <color indexed="8"/>
      </left>
      <right style="thin">
        <color indexed="8"/>
      </right>
      <top/>
      <bottom/>
      <diagonal/>
    </border>
    <border>
      <left style="thin">
        <color indexed="8"/>
      </left>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s>
  <cellStyleXfs count="10">
    <xf numFmtId="0" fontId="0" fillId="0" borderId="0"/>
    <xf numFmtId="38" fontId="1" fillId="0" borderId="0" applyFont="0" applyFill="0" applyBorder="0" applyAlignment="0" applyProtection="0"/>
    <xf numFmtId="0" fontId="6" fillId="0" borderId="0"/>
    <xf numFmtId="9" fontId="1" fillId="0" borderId="0" applyFont="0" applyFill="0" applyBorder="0" applyAlignment="0" applyProtection="0"/>
    <xf numFmtId="44" fontId="1" fillId="0" borderId="0" applyFont="0" applyFill="0" applyBorder="0" applyAlignment="0" applyProtection="0"/>
    <xf numFmtId="6" fontId="1" fillId="0" borderId="0" applyFont="0" applyFill="0" applyBorder="0" applyAlignment="0" applyProtection="0"/>
    <xf numFmtId="0" fontId="1" fillId="0" borderId="0"/>
    <xf numFmtId="0" fontId="7" fillId="0" borderId="0"/>
    <xf numFmtId="0" fontId="7" fillId="0" borderId="0"/>
    <xf numFmtId="0" fontId="1" fillId="0" borderId="0"/>
  </cellStyleXfs>
  <cellXfs count="88">
    <xf numFmtId="0" fontId="0" fillId="0" borderId="0" xfId="0"/>
    <xf numFmtId="44" fontId="5" fillId="2" borderId="0" xfId="4" applyFont="1" applyFill="1"/>
    <xf numFmtId="44" fontId="4" fillId="0" borderId="0" xfId="4" applyFont="1"/>
    <xf numFmtId="0" fontId="4" fillId="0" borderId="0" xfId="4" applyNumberFormat="1" applyFont="1"/>
    <xf numFmtId="44" fontId="4" fillId="0" borderId="0" xfId="4" applyNumberFormat="1" applyFont="1"/>
    <xf numFmtId="0" fontId="6" fillId="3" borderId="2" xfId="2" applyFont="1" applyFill="1" applyBorder="1" applyAlignment="1">
      <alignment horizontal="center"/>
    </xf>
    <xf numFmtId="0" fontId="6" fillId="0" borderId="1" xfId="2" applyFont="1" applyFill="1" applyBorder="1" applyAlignment="1">
      <alignment wrapText="1"/>
    </xf>
    <xf numFmtId="0" fontId="6" fillId="3" borderId="3" xfId="2" applyFont="1" applyFill="1" applyBorder="1" applyAlignment="1">
      <alignment horizontal="center"/>
    </xf>
    <xf numFmtId="164" fontId="0" fillId="0" borderId="0" xfId="4" applyNumberFormat="1" applyFont="1"/>
    <xf numFmtId="0" fontId="6" fillId="0" borderId="4" xfId="2" applyFont="1" applyFill="1" applyBorder="1" applyAlignment="1">
      <alignment horizontal="center"/>
    </xf>
    <xf numFmtId="164" fontId="0" fillId="0" borderId="0" xfId="4" applyNumberFormat="1" applyFont="1" applyFill="1"/>
    <xf numFmtId="0" fontId="3" fillId="4" borderId="0" xfId="0" applyFont="1" applyFill="1" applyAlignment="1">
      <alignment horizontal="center"/>
    </xf>
    <xf numFmtId="0" fontId="4" fillId="0" borderId="0" xfId="0" applyFont="1"/>
    <xf numFmtId="0" fontId="3" fillId="0" borderId="0" xfId="0" applyFont="1" applyFill="1" applyAlignment="1">
      <alignment horizontal="center"/>
    </xf>
    <xf numFmtId="0" fontId="5" fillId="2" borderId="0" xfId="0" applyFont="1" applyFill="1"/>
    <xf numFmtId="0" fontId="5" fillId="2" borderId="0" xfId="0" applyFont="1" applyFill="1" applyAlignment="1">
      <alignment horizontal="center"/>
    </xf>
    <xf numFmtId="0" fontId="4" fillId="0" borderId="0" xfId="0" applyFont="1" applyAlignment="1">
      <alignment horizontal="center"/>
    </xf>
    <xf numFmtId="0" fontId="4" fillId="0" borderId="0" xfId="0" applyFont="1" applyAlignment="1">
      <alignment horizontal="right"/>
    </xf>
    <xf numFmtId="0" fontId="5" fillId="0" borderId="0" xfId="0" applyFont="1" applyFill="1"/>
    <xf numFmtId="164" fontId="7" fillId="0" borderId="0" xfId="4" applyNumberFormat="1" applyFont="1"/>
    <xf numFmtId="164" fontId="1" fillId="0" borderId="0" xfId="4" applyNumberFormat="1"/>
    <xf numFmtId="0" fontId="8" fillId="0" borderId="0" xfId="0" applyFont="1" applyAlignment="1">
      <alignment horizontal="center"/>
    </xf>
    <xf numFmtId="3" fontId="0" fillId="0" borderId="0" xfId="0" applyNumberFormat="1"/>
    <xf numFmtId="165" fontId="0" fillId="0" borderId="0" xfId="0" applyNumberFormat="1"/>
    <xf numFmtId="0" fontId="7" fillId="0" borderId="0" xfId="0" applyFont="1"/>
    <xf numFmtId="10" fontId="7" fillId="0" borderId="0" xfId="3" applyNumberFormat="1" applyFont="1"/>
    <xf numFmtId="0" fontId="7" fillId="0" borderId="5" xfId="0" applyFont="1" applyBorder="1"/>
    <xf numFmtId="1" fontId="7" fillId="0" borderId="0" xfId="0" applyNumberFormat="1" applyFont="1"/>
    <xf numFmtId="0" fontId="9" fillId="0" borderId="0" xfId="0" applyFont="1"/>
    <xf numFmtId="0" fontId="9" fillId="0" borderId="0" xfId="0" applyFont="1" applyAlignment="1">
      <alignment horizontal="right"/>
    </xf>
    <xf numFmtId="0" fontId="5" fillId="2" borderId="0" xfId="6" applyFont="1" applyFill="1"/>
    <xf numFmtId="0" fontId="5" fillId="2" borderId="0" xfId="6" applyFont="1" applyFill="1" applyAlignment="1">
      <alignment horizontal="center"/>
    </xf>
    <xf numFmtId="0" fontId="7" fillId="0" borderId="0" xfId="7"/>
    <xf numFmtId="0" fontId="4" fillId="0" borderId="0" xfId="6" applyFont="1"/>
    <xf numFmtId="0" fontId="4" fillId="0" borderId="0" xfId="6" applyFont="1" applyAlignment="1">
      <alignment horizontal="center"/>
    </xf>
    <xf numFmtId="0" fontId="10" fillId="0" borderId="0" xfId="7" applyFont="1"/>
    <xf numFmtId="0" fontId="7" fillId="0" borderId="6" xfId="7" applyBorder="1"/>
    <xf numFmtId="0" fontId="7" fillId="0" borderId="0" xfId="7" quotePrefix="1"/>
    <xf numFmtId="0" fontId="7" fillId="0" borderId="5" xfId="7" applyBorder="1"/>
    <xf numFmtId="0" fontId="7" fillId="0" borderId="0" xfId="7" applyFont="1"/>
    <xf numFmtId="10" fontId="7" fillId="0" borderId="0" xfId="3" applyNumberFormat="1" applyFont="1" applyBorder="1"/>
    <xf numFmtId="164" fontId="7" fillId="0" borderId="0" xfId="4" quotePrefix="1" applyNumberFormat="1" applyFont="1"/>
    <xf numFmtId="0" fontId="11" fillId="5" borderId="0" xfId="0" applyFont="1" applyFill="1" applyAlignment="1">
      <alignment horizontal="center"/>
    </xf>
    <xf numFmtId="0" fontId="11" fillId="5" borderId="0" xfId="0" applyFont="1" applyFill="1" applyAlignment="1">
      <alignment horizontal="left"/>
    </xf>
    <xf numFmtId="0" fontId="11" fillId="5" borderId="0" xfId="0" applyFont="1" applyFill="1" applyAlignment="1">
      <alignment horizontal="right"/>
    </xf>
    <xf numFmtId="0" fontId="11" fillId="5" borderId="0" xfId="0" applyFont="1" applyFill="1" applyAlignment="1"/>
    <xf numFmtId="165" fontId="12" fillId="0" borderId="0" xfId="0" applyNumberFormat="1" applyFont="1"/>
    <xf numFmtId="0" fontId="12" fillId="0" borderId="0" xfId="0" applyFont="1"/>
    <xf numFmtId="3" fontId="12" fillId="0" borderId="0" xfId="0" applyNumberFormat="1" applyFont="1"/>
    <xf numFmtId="0" fontId="13" fillId="0" borderId="0" xfId="9" applyFont="1"/>
    <xf numFmtId="0" fontId="14" fillId="0" borderId="0" xfId="9" applyFont="1"/>
    <xf numFmtId="0" fontId="4" fillId="0" borderId="0" xfId="9" applyFont="1"/>
    <xf numFmtId="0" fontId="3" fillId="6" borderId="0" xfId="9" applyFont="1" applyFill="1"/>
    <xf numFmtId="0" fontId="16" fillId="0" borderId="0" xfId="0" applyFont="1"/>
    <xf numFmtId="0" fontId="17" fillId="0" borderId="0" xfId="0" applyFont="1" applyFill="1"/>
    <xf numFmtId="0" fontId="16" fillId="0" borderId="0" xfId="9" applyFont="1"/>
    <xf numFmtId="0" fontId="19" fillId="6" borderId="0" xfId="9" applyFont="1" applyFill="1"/>
    <xf numFmtId="165" fontId="15" fillId="0" borderId="0" xfId="0" applyNumberFormat="1" applyFont="1" applyFill="1" applyBorder="1"/>
    <xf numFmtId="0" fontId="15" fillId="0" borderId="0" xfId="0" applyFont="1" applyFill="1" applyBorder="1"/>
    <xf numFmtId="3" fontId="15" fillId="0" borderId="0" xfId="0" applyNumberFormat="1" applyFont="1" applyFill="1" applyBorder="1"/>
    <xf numFmtId="14" fontId="15" fillId="0" borderId="0" xfId="0" applyNumberFormat="1" applyFont="1" applyFill="1" applyBorder="1"/>
    <xf numFmtId="0" fontId="6" fillId="7" borderId="2" xfId="2" applyFont="1" applyFill="1" applyBorder="1" applyAlignment="1">
      <alignment horizontal="center"/>
    </xf>
    <xf numFmtId="0" fontId="6" fillId="7" borderId="3" xfId="2" applyFont="1" applyFill="1" applyBorder="1" applyAlignment="1">
      <alignment horizontal="center"/>
    </xf>
    <xf numFmtId="0" fontId="6" fillId="8" borderId="2" xfId="2" applyFont="1" applyFill="1" applyBorder="1" applyAlignment="1">
      <alignment horizontal="center"/>
    </xf>
    <xf numFmtId="0" fontId="6" fillId="8" borderId="3" xfId="2" applyFont="1" applyFill="1" applyBorder="1" applyAlignment="1">
      <alignment horizontal="center"/>
    </xf>
    <xf numFmtId="0" fontId="20" fillId="0" borderId="0" xfId="0" applyFont="1" applyFill="1" applyBorder="1" applyAlignment="1">
      <alignment horizontal="center"/>
    </xf>
    <xf numFmtId="0" fontId="20" fillId="0" borderId="0" xfId="0" applyFont="1" applyFill="1" applyBorder="1" applyAlignment="1">
      <alignment horizontal="left"/>
    </xf>
    <xf numFmtId="0" fontId="20" fillId="0" borderId="0" xfId="0" applyFont="1" applyFill="1" applyBorder="1" applyAlignment="1">
      <alignment horizontal="right"/>
    </xf>
    <xf numFmtId="0" fontId="20" fillId="0" borderId="0" xfId="0" applyFont="1" applyFill="1" applyBorder="1" applyAlignment="1"/>
    <xf numFmtId="0" fontId="3" fillId="0" borderId="0" xfId="9" applyFont="1"/>
    <xf numFmtId="9" fontId="16" fillId="0" borderId="0" xfId="3" applyFont="1"/>
    <xf numFmtId="0" fontId="6" fillId="9" borderId="2" xfId="2" applyFont="1" applyFill="1" applyBorder="1" applyAlignment="1">
      <alignment horizontal="center"/>
    </xf>
    <xf numFmtId="0" fontId="6" fillId="7" borderId="2" xfId="2" quotePrefix="1" applyFont="1" applyFill="1" applyBorder="1" applyAlignment="1">
      <alignment horizontal="center"/>
    </xf>
    <xf numFmtId="3" fontId="15" fillId="0" borderId="0" xfId="0" applyNumberFormat="1" applyFont="1" applyFill="1"/>
    <xf numFmtId="0" fontId="15" fillId="0" borderId="0" xfId="0" applyFont="1" applyFill="1"/>
    <xf numFmtId="3" fontId="15" fillId="0" borderId="0" xfId="0" applyNumberFormat="1" applyFon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166" fontId="0" fillId="0" borderId="0" xfId="0" applyNumberFormat="1"/>
    <xf numFmtId="10" fontId="0" fillId="0" borderId="0" xfId="0" applyNumberFormat="1"/>
    <xf numFmtId="0" fontId="20" fillId="0" borderId="0" xfId="0" applyFont="1" applyAlignment="1">
      <alignment horizontal="center"/>
    </xf>
    <xf numFmtId="14" fontId="0" fillId="0" borderId="0" xfId="0" applyNumberFormat="1" applyAlignment="1">
      <alignment horizontal="left"/>
    </xf>
    <xf numFmtId="0" fontId="3" fillId="4" borderId="0" xfId="0" applyFont="1" applyFill="1" applyAlignment="1">
      <alignment horizontal="center"/>
    </xf>
    <xf numFmtId="0" fontId="21" fillId="6" borderId="0" xfId="0" applyFont="1" applyFill="1" applyAlignment="1">
      <alignment horizontal="right"/>
    </xf>
    <xf numFmtId="0" fontId="22" fillId="6" borderId="0" xfId="0" applyFont="1" applyFill="1" applyAlignment="1">
      <alignment horizontal="right"/>
    </xf>
    <xf numFmtId="0" fontId="23" fillId="6" borderId="0" xfId="0" applyFont="1" applyFill="1"/>
  </cellXfs>
  <cellStyles count="10">
    <cellStyle name="Currency" xfId="4" builtinId="4"/>
    <cellStyle name="Komma (0)" xfId="1" xr:uid="{00000000-0005-0000-0000-000000000000}"/>
    <cellStyle name="Normal" xfId="0" builtinId="0"/>
    <cellStyle name="Normal 2" xfId="8" xr:uid="{00000000-0005-0000-0000-000002000000}"/>
    <cellStyle name="Normal_Adresslista personal" xfId="9" xr:uid="{00000000-0005-0000-0000-000003000000}"/>
    <cellStyle name="Normal_Excel Avancerade Funktioner" xfId="7" xr:uid="{00000000-0005-0000-0000-000004000000}"/>
    <cellStyle name="Normal_Listor och Pivottabeller" xfId="6" xr:uid="{00000000-0005-0000-0000-000005000000}"/>
    <cellStyle name="Normal_Sheet1" xfId="2" xr:uid="{00000000-0005-0000-0000-000006000000}"/>
    <cellStyle name="Percent" xfId="3" builtinId="5"/>
    <cellStyle name="Valuta (0)" xfId="5" xr:uid="{00000000-0005-0000-0000-000009000000}"/>
  </cellStyles>
  <dxfs count="19">
    <dxf>
      <font>
        <color rgb="FF00B050"/>
      </font>
    </dxf>
    <dxf>
      <font>
        <color rgb="FFFF0000"/>
      </font>
    </dxf>
    <dxf>
      <font>
        <condense val="0"/>
        <extend val="0"/>
        <color indexed="10"/>
      </font>
    </dxf>
    <dxf>
      <font>
        <b/>
        <i val="0"/>
        <color rgb="FFFFFF00"/>
      </font>
      <fill>
        <patternFill>
          <bgColor rgb="FFFF0000"/>
        </patternFill>
      </fill>
    </dxf>
    <dxf>
      <font>
        <color rgb="FF00B050"/>
      </font>
    </dxf>
    <dxf>
      <font>
        <b/>
        <i val="0"/>
        <color rgb="FFFF0000"/>
      </font>
    </dxf>
    <dxf>
      <font>
        <color rgb="FF9C0006"/>
      </font>
      <fill>
        <patternFill>
          <bgColor rgb="FFFFC7CE"/>
        </patternFill>
      </fill>
    </dxf>
    <dxf>
      <font>
        <b/>
        <i val="0"/>
        <strike val="0"/>
        <condense val="0"/>
        <extend val="0"/>
        <outline val="0"/>
        <shadow val="0"/>
        <u val="none"/>
        <vertAlign val="baseline"/>
        <sz val="10"/>
        <color rgb="FFFF0000"/>
        <name val="Arial"/>
        <scheme val="none"/>
      </font>
    </dxf>
    <dxf>
      <font>
        <b/>
        <i val="0"/>
        <strike val="0"/>
        <condense val="0"/>
        <extend val="0"/>
        <outline val="0"/>
        <shadow val="0"/>
        <u val="none"/>
        <vertAlign val="baseline"/>
        <sz val="10"/>
        <color rgb="FFFFFF00"/>
        <name val="Arial"/>
        <scheme val="none"/>
      </font>
    </dxf>
    <dxf>
      <font>
        <b val="0"/>
        <i val="0"/>
        <strike val="0"/>
        <condense val="0"/>
        <extend val="0"/>
        <outline val="0"/>
        <shadow val="0"/>
        <u val="none"/>
        <vertAlign val="baseline"/>
        <sz val="10"/>
        <color theme="1"/>
        <name val="Arial"/>
        <family val="2"/>
        <scheme val="none"/>
      </font>
      <numFmt numFmtId="0" formatCode="General"/>
      <fill>
        <patternFill patternType="none">
          <fgColor indexed="64"/>
          <bgColor indexed="65"/>
        </patternFill>
      </fill>
    </dxf>
    <dxf>
      <font>
        <b val="0"/>
        <i val="0"/>
        <strike val="0"/>
        <condense val="0"/>
        <extend val="0"/>
        <outline val="0"/>
        <shadow val="0"/>
        <u val="none"/>
        <vertAlign val="baseline"/>
        <sz val="10"/>
        <color theme="1"/>
        <name val="Arial"/>
        <family val="2"/>
        <scheme val="none"/>
      </font>
      <numFmt numFmtId="3" formatCode="#,##0"/>
      <fill>
        <patternFill patternType="none">
          <fgColor indexed="64"/>
          <bgColor indexed="65"/>
        </patternFill>
      </fill>
    </dxf>
    <dxf>
      <font>
        <b val="0"/>
        <i val="0"/>
        <strike val="0"/>
        <condense val="0"/>
        <extend val="0"/>
        <outline val="0"/>
        <shadow val="0"/>
        <u val="none"/>
        <vertAlign val="baseline"/>
        <sz val="10"/>
        <color theme="1"/>
        <name val="Arial"/>
        <family val="2"/>
        <scheme val="none"/>
      </font>
      <numFmt numFmtId="19" formatCode="yyyy/mm/dd"/>
      <fill>
        <patternFill patternType="none">
          <fgColor indexed="64"/>
          <bgColor indexed="65"/>
        </patternFill>
      </fill>
    </dxf>
    <dxf>
      <font>
        <b val="0"/>
        <i val="0"/>
        <strike val="0"/>
        <condense val="0"/>
        <extend val="0"/>
        <outline val="0"/>
        <shadow val="0"/>
        <u val="none"/>
        <vertAlign val="baseline"/>
        <sz val="10"/>
        <color theme="1"/>
        <name val="Arial"/>
        <family val="2"/>
        <scheme val="none"/>
      </font>
      <fill>
        <patternFill patternType="none">
          <fgColor indexed="64"/>
          <bgColor indexed="65"/>
        </patternFill>
      </fill>
    </dxf>
    <dxf>
      <font>
        <b val="0"/>
        <i val="0"/>
        <strike val="0"/>
        <condense val="0"/>
        <extend val="0"/>
        <outline val="0"/>
        <shadow val="0"/>
        <u val="none"/>
        <vertAlign val="baseline"/>
        <sz val="10"/>
        <color theme="1"/>
        <name val="Arial"/>
        <family val="2"/>
        <scheme val="none"/>
      </font>
      <fill>
        <patternFill patternType="none">
          <fgColor indexed="64"/>
          <bgColor indexed="65"/>
        </patternFill>
      </fill>
    </dxf>
    <dxf>
      <font>
        <b val="0"/>
        <i val="0"/>
        <strike val="0"/>
        <condense val="0"/>
        <extend val="0"/>
        <outline val="0"/>
        <shadow val="0"/>
        <u val="none"/>
        <vertAlign val="baseline"/>
        <sz val="10"/>
        <color theme="1"/>
        <name val="Arial"/>
        <family val="2"/>
        <scheme val="none"/>
      </font>
      <fill>
        <patternFill patternType="none">
          <fgColor indexed="64"/>
          <bgColor indexed="65"/>
        </patternFill>
      </fill>
    </dxf>
    <dxf>
      <font>
        <b val="0"/>
        <i val="0"/>
        <strike val="0"/>
        <condense val="0"/>
        <extend val="0"/>
        <outline val="0"/>
        <shadow val="0"/>
        <u val="none"/>
        <vertAlign val="baseline"/>
        <sz val="10"/>
        <color theme="1"/>
        <name val="Arial"/>
        <family val="2"/>
        <scheme val="none"/>
      </font>
      <numFmt numFmtId="3" formatCode="#,##0"/>
      <fill>
        <patternFill patternType="none">
          <fgColor indexed="64"/>
          <bgColor indexed="65"/>
        </patternFill>
      </fill>
    </dxf>
    <dxf>
      <font>
        <b val="0"/>
        <i val="0"/>
        <strike val="0"/>
        <condense val="0"/>
        <extend val="0"/>
        <outline val="0"/>
        <shadow val="0"/>
        <u val="none"/>
        <vertAlign val="baseline"/>
        <sz val="10"/>
        <color theme="1"/>
        <name val="Arial"/>
        <family val="2"/>
        <scheme val="none"/>
      </font>
      <fill>
        <patternFill patternType="none">
          <fgColor indexed="64"/>
          <bgColor indexed="65"/>
        </patternFill>
      </fill>
    </dxf>
    <dxf>
      <font>
        <b val="0"/>
        <i val="0"/>
        <strike val="0"/>
        <condense val="0"/>
        <extend val="0"/>
        <outline val="0"/>
        <shadow val="0"/>
        <u val="none"/>
        <vertAlign val="baseline"/>
        <sz val="10"/>
        <color theme="1"/>
        <name val="Arial"/>
        <family val="2"/>
        <scheme val="none"/>
      </font>
      <numFmt numFmtId="165" formatCode="000"/>
      <fill>
        <patternFill patternType="none">
          <fgColor indexed="64"/>
          <bgColor indexed="65"/>
        </patternFill>
      </fill>
    </dxf>
    <dxf>
      <font>
        <b val="0"/>
        <i val="0"/>
        <strike val="0"/>
        <condense val="0"/>
        <extend val="0"/>
        <outline val="0"/>
        <shadow val="0"/>
        <u val="none"/>
        <vertAlign val="baseline"/>
        <sz val="10"/>
        <color theme="1"/>
        <name val="Arial"/>
        <family val="2"/>
        <scheme val="none"/>
      </font>
      <fill>
        <patternFill patternType="none">
          <fgColor indexed="64"/>
          <bgColor indexed="6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openxmlformats.org/officeDocument/2006/relationships/worksheet" Target="worksheets/sheet12.xml"/><Relationship Id="rId18" Type="http://schemas.microsoft.com/office/2007/relationships/slicerCache" Target="slicerCaches/slicerCache2.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chartsheet" Target="chartsheets/sheet1.xml"/><Relationship Id="rId12" Type="http://schemas.openxmlformats.org/officeDocument/2006/relationships/worksheet" Target="worksheets/sheet11.xml"/><Relationship Id="rId17" Type="http://schemas.microsoft.com/office/2007/relationships/slicerCache" Target="slicerCaches/slicerCache1.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calcChain" Target="calcChain.xml"/><Relationship Id="rId10" Type="http://schemas.openxmlformats.org/officeDocument/2006/relationships/worksheet" Target="worksheets/sheet9.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8.xml"/><Relationship Id="rId14" Type="http://schemas.openxmlformats.org/officeDocument/2006/relationships/worksheet" Target="worksheets/sheet13.xml"/><Relationship Id="rId22" Type="http://schemas.openxmlformats.org/officeDocument/2006/relationships/sheetMetadata" Target="metadata.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[Övningsfil.xlsm]Diagramunderlag!PivotTable3</c:name>
    <c:fmtId val="1"/>
  </c:pivotSource>
  <c:chart>
    <c:title>
      <c:tx>
        <c:rich>
          <a:bodyPr rot="0" spcFirstLastPara="1" vertOverflow="ellipsis" vert="horz" wrap="square" anchor="ctr" anchorCtr="1"/>
          <a:lstStyle/>
          <a:p>
            <a:pPr>
              <a:defRPr sz="1400" b="0" i="0" u="none" strike="noStrike" kern="1200" cap="none" spc="0" baseline="0">
                <a:ln w="0">
                  <a:solidFill>
                    <a:schemeClr val="bg1"/>
                  </a:solidFill>
                </a:ln>
                <a:solidFill>
                  <a:schemeClr val="bg1"/>
                </a:solidFill>
                <a:effectLst>
                  <a:outerShdw blurRad="38100" dist="19050" dir="2700000" algn="tl" rotWithShape="0">
                    <a:schemeClr val="dk1">
                      <a:alpha val="40000"/>
                    </a:schemeClr>
                  </a:outerShdw>
                </a:effectLst>
                <a:latin typeface="+mn-lt"/>
                <a:ea typeface="+mn-ea"/>
                <a:cs typeface="+mn-cs"/>
              </a:defRPr>
            </a:pPr>
            <a:r>
              <a:rPr lang="sv-SE" sz="2000" b="0" cap="none" spc="0">
                <a:ln w="0">
                  <a:solidFill>
                    <a:schemeClr val="bg1"/>
                  </a:solidFill>
                </a:ln>
                <a:solidFill>
                  <a:schemeClr val="bg1"/>
                </a:solidFill>
                <a:effectLst>
                  <a:outerShdw blurRad="38100" dist="19050" dir="2700000" algn="tl" rotWithShape="0">
                    <a:schemeClr val="dk1">
                      <a:alpha val="40000"/>
                    </a:schemeClr>
                  </a:outerShdw>
                </a:effectLst>
                <a:latin typeface="Roboto" panose="02000000000000000000" pitchFamily="2" charset="0"/>
                <a:ea typeface="Roboto" panose="02000000000000000000" pitchFamily="2" charset="0"/>
              </a:rPr>
              <a:t>Försäljning</a:t>
            </a:r>
            <a:r>
              <a:rPr lang="sv-SE" sz="2000" b="0" cap="none" spc="0" baseline="0">
                <a:ln w="0">
                  <a:solidFill>
                    <a:schemeClr val="bg1"/>
                  </a:solidFill>
                </a:ln>
                <a:solidFill>
                  <a:schemeClr val="bg1"/>
                </a:solidFill>
                <a:effectLst>
                  <a:outerShdw blurRad="38100" dist="19050" dir="2700000" algn="tl" rotWithShape="0">
                    <a:schemeClr val="dk1">
                      <a:alpha val="40000"/>
                    </a:schemeClr>
                  </a:outerShdw>
                </a:effectLst>
                <a:latin typeface="Roboto" panose="02000000000000000000" pitchFamily="2" charset="0"/>
                <a:ea typeface="Roboto" panose="02000000000000000000" pitchFamily="2" charset="0"/>
              </a:rPr>
              <a:t> per månad</a:t>
            </a:r>
            <a:endParaRPr lang="sv-SE" sz="2000" b="0" cap="none" spc="0">
              <a:ln w="0">
                <a:solidFill>
                  <a:schemeClr val="bg1"/>
                </a:solidFill>
              </a:ln>
              <a:solidFill>
                <a:schemeClr val="bg1"/>
              </a:solidFill>
              <a:effectLst>
                <a:outerShdw blurRad="38100" dist="19050" dir="2700000" algn="tl" rotWithShape="0">
                  <a:schemeClr val="dk1">
                    <a:alpha val="40000"/>
                  </a:schemeClr>
                </a:outerShdw>
              </a:effectLst>
              <a:latin typeface="Roboto" panose="02000000000000000000" pitchFamily="2" charset="0"/>
              <a:ea typeface="Roboto" panose="02000000000000000000" pitchFamily="2" charset="0"/>
            </a:endParaRPr>
          </a:p>
        </c:rich>
      </c:tx>
      <c:overlay val="0"/>
      <c:spPr>
        <a:noFill/>
        <a:ln>
          <a:noFill/>
        </a:ln>
        <a:effectLst/>
      </c:spPr>
      <c:txPr>
        <a:bodyPr rot="0" spcFirstLastPara="1" vertOverflow="ellipsis" vert="horz" wrap="square" anchor="ctr" anchorCtr="1"/>
        <a:lstStyle/>
        <a:p>
          <a:pPr>
            <a:defRPr sz="1400" b="0" i="0" u="none" strike="noStrike" kern="1200" cap="none" spc="0" baseline="0">
              <a:ln w="0">
                <a:solidFill>
                  <a:schemeClr val="bg1"/>
                </a:solidFill>
              </a:ln>
              <a:solidFill>
                <a:schemeClr val="bg1"/>
              </a:solidFill>
              <a:effectLst>
                <a:outerShdw blurRad="38100" dist="19050" dir="2700000" algn="tl" rotWithShape="0">
                  <a:schemeClr val="dk1">
                    <a:alpha val="40000"/>
                  </a:schemeClr>
                </a:outerShdw>
              </a:effectLst>
              <a:latin typeface="+mn-lt"/>
              <a:ea typeface="+mn-ea"/>
              <a:cs typeface="+mn-cs"/>
            </a:defRPr>
          </a:pPr>
          <a:endParaRPr lang="en-SE"/>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SE"/>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SE"/>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SE"/>
            </a:p>
          </c:txPr>
          <c:showLegendKey val="0"/>
          <c:showVal val="0"/>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SE"/>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Diagramunderlag!$B$1:$B$2</c:f>
              <c:strCache>
                <c:ptCount val="1"/>
                <c:pt idx="0">
                  <c:v>Europa</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multiLvlStrRef>
              <c:f>Diagramunderlag!$A$3:$A$24</c:f>
              <c:multiLvlStrCache>
                <c:ptCount val="11"/>
                <c:lvl>
                  <c:pt idx="0">
                    <c:v>2013</c:v>
                  </c:pt>
                  <c:pt idx="1">
                    <c:v>2013</c:v>
                  </c:pt>
                  <c:pt idx="2">
                    <c:v>2013</c:v>
                  </c:pt>
                  <c:pt idx="3">
                    <c:v>2013</c:v>
                  </c:pt>
                  <c:pt idx="4">
                    <c:v>2013</c:v>
                  </c:pt>
                  <c:pt idx="5">
                    <c:v>2014</c:v>
                  </c:pt>
                  <c:pt idx="6">
                    <c:v>2014</c:v>
                  </c:pt>
                  <c:pt idx="7">
                    <c:v>2014</c:v>
                  </c:pt>
                  <c:pt idx="8">
                    <c:v>2014</c:v>
                  </c:pt>
                  <c:pt idx="9">
                    <c:v>2014</c:v>
                  </c:pt>
                  <c:pt idx="10">
                    <c:v>2014</c:v>
                  </c:pt>
                </c:lvl>
                <c:lvl>
                  <c:pt idx="0">
                    <c:v>januari</c:v>
                  </c:pt>
                  <c:pt idx="1">
                    <c:v>Februari</c:v>
                  </c:pt>
                  <c:pt idx="2">
                    <c:v>Mars</c:v>
                  </c:pt>
                  <c:pt idx="3">
                    <c:v>April</c:v>
                  </c:pt>
                  <c:pt idx="4">
                    <c:v>Maj</c:v>
                  </c:pt>
                  <c:pt idx="6">
                    <c:v>Juni</c:v>
                  </c:pt>
                  <c:pt idx="7">
                    <c:v>Augusti</c:v>
                  </c:pt>
                  <c:pt idx="8">
                    <c:v>September</c:v>
                  </c:pt>
                  <c:pt idx="9">
                    <c:v>Oktober</c:v>
                  </c:pt>
                  <c:pt idx="10">
                    <c:v>November</c:v>
                  </c:pt>
                </c:lvl>
              </c:multiLvlStrCache>
            </c:multiLvlStrRef>
          </c:cat>
          <c:val>
            <c:numRef>
              <c:f>Diagramunderlag!$B$3:$B$24</c:f>
              <c:numCache>
                <c:formatCode>General</c:formatCode>
                <c:ptCount val="11"/>
                <c:pt idx="0">
                  <c:v>24500</c:v>
                </c:pt>
                <c:pt idx="1">
                  <c:v>24500</c:v>
                </c:pt>
                <c:pt idx="2">
                  <c:v>24500</c:v>
                </c:pt>
                <c:pt idx="3">
                  <c:v>24500</c:v>
                </c:pt>
                <c:pt idx="4">
                  <c:v>24500</c:v>
                </c:pt>
                <c:pt idx="6">
                  <c:v>24500</c:v>
                </c:pt>
                <c:pt idx="7">
                  <c:v>24500</c:v>
                </c:pt>
                <c:pt idx="8">
                  <c:v>24500</c:v>
                </c:pt>
                <c:pt idx="9">
                  <c:v>24500</c:v>
                </c:pt>
                <c:pt idx="10">
                  <c:v>24500</c:v>
                </c:pt>
              </c:numCache>
            </c:numRef>
          </c:val>
          <c:extLst>
            <c:ext xmlns:c16="http://schemas.microsoft.com/office/drawing/2014/chart" uri="{C3380CC4-5D6E-409C-BE32-E72D297353CC}">
              <c16:uniqueId val="{00000000-3202-4F84-B2AB-434637A3CCEF}"/>
            </c:ext>
          </c:extLst>
        </c:ser>
        <c:ser>
          <c:idx val="1"/>
          <c:order val="1"/>
          <c:tx>
            <c:strRef>
              <c:f>Diagramunderlag!$C$1:$C$2</c:f>
              <c:strCache>
                <c:ptCount val="1"/>
                <c:pt idx="0">
                  <c:v>Budget</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multiLvlStrRef>
              <c:f>Diagramunderlag!$A$3:$A$24</c:f>
              <c:multiLvlStrCache>
                <c:ptCount val="11"/>
                <c:lvl>
                  <c:pt idx="0">
                    <c:v>2013</c:v>
                  </c:pt>
                  <c:pt idx="1">
                    <c:v>2013</c:v>
                  </c:pt>
                  <c:pt idx="2">
                    <c:v>2013</c:v>
                  </c:pt>
                  <c:pt idx="3">
                    <c:v>2013</c:v>
                  </c:pt>
                  <c:pt idx="4">
                    <c:v>2013</c:v>
                  </c:pt>
                  <c:pt idx="5">
                    <c:v>2014</c:v>
                  </c:pt>
                  <c:pt idx="6">
                    <c:v>2014</c:v>
                  </c:pt>
                  <c:pt idx="7">
                    <c:v>2014</c:v>
                  </c:pt>
                  <c:pt idx="8">
                    <c:v>2014</c:v>
                  </c:pt>
                  <c:pt idx="9">
                    <c:v>2014</c:v>
                  </c:pt>
                  <c:pt idx="10">
                    <c:v>2014</c:v>
                  </c:pt>
                </c:lvl>
                <c:lvl>
                  <c:pt idx="0">
                    <c:v>januari</c:v>
                  </c:pt>
                  <c:pt idx="1">
                    <c:v>Februari</c:v>
                  </c:pt>
                  <c:pt idx="2">
                    <c:v>Mars</c:v>
                  </c:pt>
                  <c:pt idx="3">
                    <c:v>April</c:v>
                  </c:pt>
                  <c:pt idx="4">
                    <c:v>Maj</c:v>
                  </c:pt>
                  <c:pt idx="6">
                    <c:v>Juni</c:v>
                  </c:pt>
                  <c:pt idx="7">
                    <c:v>Augusti</c:v>
                  </c:pt>
                  <c:pt idx="8">
                    <c:v>September</c:v>
                  </c:pt>
                  <c:pt idx="9">
                    <c:v>Oktober</c:v>
                  </c:pt>
                  <c:pt idx="10">
                    <c:v>November</c:v>
                  </c:pt>
                </c:lvl>
              </c:multiLvlStrCache>
            </c:multiLvlStrRef>
          </c:cat>
          <c:val>
            <c:numRef>
              <c:f>Diagramunderlag!$C$3:$C$24</c:f>
              <c:numCache>
                <c:formatCode>General</c:formatCode>
                <c:ptCount val="11"/>
                <c:pt idx="0">
                  <c:v>90000</c:v>
                </c:pt>
                <c:pt idx="1">
                  <c:v>30000</c:v>
                </c:pt>
                <c:pt idx="2">
                  <c:v>30000</c:v>
                </c:pt>
                <c:pt idx="3">
                  <c:v>15000</c:v>
                </c:pt>
                <c:pt idx="4">
                  <c:v>15000</c:v>
                </c:pt>
                <c:pt idx="5">
                  <c:v>15000</c:v>
                </c:pt>
                <c:pt idx="6">
                  <c:v>30000</c:v>
                </c:pt>
                <c:pt idx="7">
                  <c:v>15000</c:v>
                </c:pt>
                <c:pt idx="8">
                  <c:v>30000</c:v>
                </c:pt>
                <c:pt idx="9">
                  <c:v>30000</c:v>
                </c:pt>
                <c:pt idx="10">
                  <c:v>15000</c:v>
                </c:pt>
              </c:numCache>
            </c:numRef>
          </c:val>
          <c:extLst>
            <c:ext xmlns:c16="http://schemas.microsoft.com/office/drawing/2014/chart" uri="{C3380CC4-5D6E-409C-BE32-E72D297353CC}">
              <c16:uniqueId val="{00000001-3202-4F84-B2AB-434637A3CCEF}"/>
            </c:ext>
          </c:extLst>
        </c:ser>
        <c:ser>
          <c:idx val="2"/>
          <c:order val="2"/>
          <c:tx>
            <c:strRef>
              <c:f>Diagramunderlag!$D$1:$D$2</c:f>
              <c:strCache>
                <c:ptCount val="1"/>
                <c:pt idx="0">
                  <c:v>Elegant</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cat>
            <c:multiLvlStrRef>
              <c:f>Diagramunderlag!$A$3:$A$24</c:f>
              <c:multiLvlStrCache>
                <c:ptCount val="11"/>
                <c:lvl>
                  <c:pt idx="0">
                    <c:v>2013</c:v>
                  </c:pt>
                  <c:pt idx="1">
                    <c:v>2013</c:v>
                  </c:pt>
                  <c:pt idx="2">
                    <c:v>2013</c:v>
                  </c:pt>
                  <c:pt idx="3">
                    <c:v>2013</c:v>
                  </c:pt>
                  <c:pt idx="4">
                    <c:v>2013</c:v>
                  </c:pt>
                  <c:pt idx="5">
                    <c:v>2014</c:v>
                  </c:pt>
                  <c:pt idx="6">
                    <c:v>2014</c:v>
                  </c:pt>
                  <c:pt idx="7">
                    <c:v>2014</c:v>
                  </c:pt>
                  <c:pt idx="8">
                    <c:v>2014</c:v>
                  </c:pt>
                  <c:pt idx="9">
                    <c:v>2014</c:v>
                  </c:pt>
                  <c:pt idx="10">
                    <c:v>2014</c:v>
                  </c:pt>
                </c:lvl>
                <c:lvl>
                  <c:pt idx="0">
                    <c:v>januari</c:v>
                  </c:pt>
                  <c:pt idx="1">
                    <c:v>Februari</c:v>
                  </c:pt>
                  <c:pt idx="2">
                    <c:v>Mars</c:v>
                  </c:pt>
                  <c:pt idx="3">
                    <c:v>April</c:v>
                  </c:pt>
                  <c:pt idx="4">
                    <c:v>Maj</c:v>
                  </c:pt>
                  <c:pt idx="6">
                    <c:v>Juni</c:v>
                  </c:pt>
                  <c:pt idx="7">
                    <c:v>Augusti</c:v>
                  </c:pt>
                  <c:pt idx="8">
                    <c:v>September</c:v>
                  </c:pt>
                  <c:pt idx="9">
                    <c:v>Oktober</c:v>
                  </c:pt>
                  <c:pt idx="10">
                    <c:v>November</c:v>
                  </c:pt>
                </c:lvl>
              </c:multiLvlStrCache>
            </c:multiLvlStrRef>
          </c:cat>
          <c:val>
            <c:numRef>
              <c:f>Diagramunderlag!$D$3:$D$24</c:f>
              <c:numCache>
                <c:formatCode>General</c:formatCode>
                <c:ptCount val="11"/>
                <c:pt idx="0">
                  <c:v>32000</c:v>
                </c:pt>
                <c:pt idx="1">
                  <c:v>32000</c:v>
                </c:pt>
                <c:pt idx="2">
                  <c:v>32000</c:v>
                </c:pt>
                <c:pt idx="3">
                  <c:v>32000</c:v>
                </c:pt>
                <c:pt idx="5">
                  <c:v>32000</c:v>
                </c:pt>
                <c:pt idx="6">
                  <c:v>32000</c:v>
                </c:pt>
                <c:pt idx="7">
                  <c:v>32000</c:v>
                </c:pt>
                <c:pt idx="8">
                  <c:v>32000</c:v>
                </c:pt>
                <c:pt idx="9">
                  <c:v>32000</c:v>
                </c:pt>
                <c:pt idx="10">
                  <c:v>32000</c:v>
                </c:pt>
              </c:numCache>
            </c:numRef>
          </c:val>
          <c:extLst>
            <c:ext xmlns:c16="http://schemas.microsoft.com/office/drawing/2014/chart" uri="{C3380CC4-5D6E-409C-BE32-E72D297353CC}">
              <c16:uniqueId val="{00000007-3202-4F84-B2AB-434637A3CCEF}"/>
            </c:ext>
          </c:extLst>
        </c:ser>
        <c:ser>
          <c:idx val="3"/>
          <c:order val="3"/>
          <c:tx>
            <c:strRef>
              <c:f>Diagramunderlag!$E$1:$E$2</c:f>
              <c:strCache>
                <c:ptCount val="1"/>
                <c:pt idx="0">
                  <c:v>Ekonomi</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cat>
            <c:multiLvlStrRef>
              <c:f>Diagramunderlag!$A$3:$A$24</c:f>
              <c:multiLvlStrCache>
                <c:ptCount val="11"/>
                <c:lvl>
                  <c:pt idx="0">
                    <c:v>2013</c:v>
                  </c:pt>
                  <c:pt idx="1">
                    <c:v>2013</c:v>
                  </c:pt>
                  <c:pt idx="2">
                    <c:v>2013</c:v>
                  </c:pt>
                  <c:pt idx="3">
                    <c:v>2013</c:v>
                  </c:pt>
                  <c:pt idx="4">
                    <c:v>2013</c:v>
                  </c:pt>
                  <c:pt idx="5">
                    <c:v>2014</c:v>
                  </c:pt>
                  <c:pt idx="6">
                    <c:v>2014</c:v>
                  </c:pt>
                  <c:pt idx="7">
                    <c:v>2014</c:v>
                  </c:pt>
                  <c:pt idx="8">
                    <c:v>2014</c:v>
                  </c:pt>
                  <c:pt idx="9">
                    <c:v>2014</c:v>
                  </c:pt>
                  <c:pt idx="10">
                    <c:v>2014</c:v>
                  </c:pt>
                </c:lvl>
                <c:lvl>
                  <c:pt idx="0">
                    <c:v>januari</c:v>
                  </c:pt>
                  <c:pt idx="1">
                    <c:v>Februari</c:v>
                  </c:pt>
                  <c:pt idx="2">
                    <c:v>Mars</c:v>
                  </c:pt>
                  <c:pt idx="3">
                    <c:v>April</c:v>
                  </c:pt>
                  <c:pt idx="4">
                    <c:v>Maj</c:v>
                  </c:pt>
                  <c:pt idx="6">
                    <c:v>Juni</c:v>
                  </c:pt>
                  <c:pt idx="7">
                    <c:v>Augusti</c:v>
                  </c:pt>
                  <c:pt idx="8">
                    <c:v>September</c:v>
                  </c:pt>
                  <c:pt idx="9">
                    <c:v>Oktober</c:v>
                  </c:pt>
                  <c:pt idx="10">
                    <c:v>November</c:v>
                  </c:pt>
                </c:lvl>
              </c:multiLvlStrCache>
            </c:multiLvlStrRef>
          </c:cat>
          <c:val>
            <c:numRef>
              <c:f>Diagramunderlag!$E$3:$E$24</c:f>
              <c:numCache>
                <c:formatCode>General</c:formatCode>
                <c:ptCount val="11"/>
                <c:pt idx="0">
                  <c:v>22000</c:v>
                </c:pt>
                <c:pt idx="1">
                  <c:v>22000</c:v>
                </c:pt>
                <c:pt idx="2">
                  <c:v>22000</c:v>
                </c:pt>
                <c:pt idx="3">
                  <c:v>22000</c:v>
                </c:pt>
                <c:pt idx="4">
                  <c:v>22000</c:v>
                </c:pt>
                <c:pt idx="6">
                  <c:v>22000</c:v>
                </c:pt>
                <c:pt idx="7">
                  <c:v>22000</c:v>
                </c:pt>
                <c:pt idx="8">
                  <c:v>22000</c:v>
                </c:pt>
                <c:pt idx="9">
                  <c:v>22000</c:v>
                </c:pt>
                <c:pt idx="10">
                  <c:v>22000</c:v>
                </c:pt>
              </c:numCache>
            </c:numRef>
          </c:val>
          <c:extLst>
            <c:ext xmlns:c16="http://schemas.microsoft.com/office/drawing/2014/chart" uri="{C3380CC4-5D6E-409C-BE32-E72D297353CC}">
              <c16:uniqueId val="{00000008-3202-4F84-B2AB-434637A3CCEF}"/>
            </c:ext>
          </c:extLst>
        </c:ser>
        <c:dLbls>
          <c:showLegendKey val="0"/>
          <c:showVal val="0"/>
          <c:showCatName val="0"/>
          <c:showSerName val="0"/>
          <c:showPercent val="0"/>
          <c:showBubbleSize val="0"/>
        </c:dLbls>
        <c:gapWidth val="315"/>
        <c:overlap val="-40"/>
        <c:axId val="113670735"/>
        <c:axId val="113666159"/>
      </c:barChart>
      <c:catAx>
        <c:axId val="11367073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SE"/>
          </a:p>
        </c:txPr>
        <c:crossAx val="113666159"/>
        <c:crosses val="autoZero"/>
        <c:auto val="1"/>
        <c:lblAlgn val="ctr"/>
        <c:lblOffset val="100"/>
        <c:noMultiLvlLbl val="0"/>
      </c:catAx>
      <c:valAx>
        <c:axId val="113666159"/>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lt1">
                    <a:lumMod val="75000"/>
                  </a:schemeClr>
                </a:solidFill>
                <a:latin typeface="Roboto" panose="02000000000000000000" pitchFamily="2" charset="0"/>
                <a:ea typeface="Roboto" panose="02000000000000000000" pitchFamily="2" charset="0"/>
                <a:cs typeface="+mn-cs"/>
              </a:defRPr>
            </a:pPr>
            <a:endParaRPr lang="en-SE"/>
          </a:p>
        </c:txPr>
        <c:crossAx val="1136707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S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SE"/>
    </a:p>
  </c:txPr>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77D5EDC-DD0A-41BB-AC88-7119FFF7EC89}">
  <sheetPr codeName="Chart3"/>
  <sheetViews>
    <sheetView zoomScale="121" workbookViewId="0" zoomToFit="1"/>
  </sheetViews>
  <pageMargins left="0.7" right="0.7" top="0.75" bottom="0.75" header="0.3" footer="0.3"/>
  <drawing r:id="rId1"/>
</chartsheet>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7</xdr:col>
      <xdr:colOff>0</xdr:colOff>
      <xdr:row>2</xdr:row>
      <xdr:rowOff>0</xdr:rowOff>
    </xdr:from>
    <xdr:to>
      <xdr:col>10</xdr:col>
      <xdr:colOff>0</xdr:colOff>
      <xdr:row>10</xdr:row>
      <xdr:rowOff>66675</xdr:rowOff>
    </xdr:to>
    <mc:AlternateContent xmlns:mc="http://schemas.openxmlformats.org/markup-compatibility/2006" xmlns:a14="http://schemas.microsoft.com/office/drawing/2010/main">
      <mc:Choice Requires="a14">
        <xdr:graphicFrame macro="">
          <xdr:nvGraphicFramePr>
            <xdr:cNvPr id="3" name="Vara">
              <a:extLst>
                <a:ext uri="{FF2B5EF4-FFF2-40B4-BE49-F238E27FC236}">
                  <a16:creationId xmlns:a16="http://schemas.microsoft.com/office/drawing/2014/main" id="{CCB3668E-F1EE-4BFE-9598-93BCF42EA48F}"/>
                </a:ext>
              </a:extLst>
            </xdr:cNvPr>
            <xdr:cNvGraphicFramePr/>
          </xdr:nvGraphicFramePr>
          <xdr:xfrm>
            <a:off x="0" y="0"/>
            <a:ext cx="0" cy="0"/>
          </xdr:xfrm>
          <a:graphic>
            <a:graphicData uri="http://schemas.microsoft.com/office/drawing/2010/slicer">
              <sle:slicer xmlns:sle="http://schemas.microsoft.com/office/drawing/2010/slicer" name="Vara"/>
            </a:graphicData>
          </a:graphic>
        </xdr:graphicFrame>
      </mc:Choice>
      <mc:Fallback xmlns="">
        <xdr:sp macro="" textlink="">
          <xdr:nvSpPr>
            <xdr:cNvPr id="0" name=""/>
            <xdr:cNvSpPr>
              <a:spLocks noTextEdit="1"/>
            </xdr:cNvSpPr>
          </xdr:nvSpPr>
          <xdr:spPr>
            <a:xfrm>
              <a:off x="5762625" y="323850"/>
              <a:ext cx="1828800" cy="1362075"/>
            </a:xfrm>
            <a:prstGeom prst="rect">
              <a:avLst/>
            </a:prstGeom>
            <a:solidFill>
              <a:prstClr val="white"/>
            </a:solidFill>
            <a:ln w="1">
              <a:solidFill>
                <a:prstClr val="green"/>
              </a:solidFill>
            </a:ln>
          </xdr:spPr>
          <xdr:txBody>
            <a:bodyPr vertOverflow="clip" horzOverflow="clip"/>
            <a:lstStyle/>
            <a:p>
              <a:r>
                <a:rPr lang="en-S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0</xdr:colOff>
      <xdr:row>11</xdr:row>
      <xdr:rowOff>0</xdr:rowOff>
    </xdr:from>
    <xdr:to>
      <xdr:col>10</xdr:col>
      <xdr:colOff>0</xdr:colOff>
      <xdr:row>18</xdr:row>
      <xdr:rowOff>9525</xdr:rowOff>
    </xdr:to>
    <mc:AlternateContent xmlns:mc="http://schemas.openxmlformats.org/markup-compatibility/2006" xmlns:a14="http://schemas.microsoft.com/office/drawing/2010/main">
      <mc:Choice Requires="a14">
        <xdr:graphicFrame macro="">
          <xdr:nvGraphicFramePr>
            <xdr:cNvPr id="4" name="Distrikt">
              <a:extLst>
                <a:ext uri="{FF2B5EF4-FFF2-40B4-BE49-F238E27FC236}">
                  <a16:creationId xmlns:a16="http://schemas.microsoft.com/office/drawing/2014/main" id="{8B37C2D4-DD42-4F7E-B9CC-BE1D6A3E0832}"/>
                </a:ext>
              </a:extLst>
            </xdr:cNvPr>
            <xdr:cNvGraphicFramePr/>
          </xdr:nvGraphicFramePr>
          <xdr:xfrm>
            <a:off x="0" y="0"/>
            <a:ext cx="0" cy="0"/>
          </xdr:xfrm>
          <a:graphic>
            <a:graphicData uri="http://schemas.microsoft.com/office/drawing/2010/slicer">
              <sle:slicer xmlns:sle="http://schemas.microsoft.com/office/drawing/2010/slicer" name="Distrikt"/>
            </a:graphicData>
          </a:graphic>
        </xdr:graphicFrame>
      </mc:Choice>
      <mc:Fallback xmlns="">
        <xdr:sp macro="" textlink="">
          <xdr:nvSpPr>
            <xdr:cNvPr id="0" name=""/>
            <xdr:cNvSpPr>
              <a:spLocks noTextEdit="1"/>
            </xdr:cNvSpPr>
          </xdr:nvSpPr>
          <xdr:spPr>
            <a:xfrm>
              <a:off x="5762625" y="1781175"/>
              <a:ext cx="1828800" cy="1143000"/>
            </a:xfrm>
            <a:prstGeom prst="rect">
              <a:avLst/>
            </a:prstGeom>
            <a:solidFill>
              <a:prstClr val="white"/>
            </a:solidFill>
            <a:ln w="1">
              <a:solidFill>
                <a:prstClr val="green"/>
              </a:solidFill>
            </a:ln>
          </xdr:spPr>
          <xdr:txBody>
            <a:bodyPr vertOverflow="clip" horzOverflow="clip"/>
            <a:lstStyle/>
            <a:p>
              <a:r>
                <a:rPr lang="en-S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absoluteAnchor>
    <xdr:pos x="0" y="0"/>
    <xdr:ext cx="9304587" cy="6084979"/>
    <xdr:graphicFrame macro="">
      <xdr:nvGraphicFramePr>
        <xdr:cNvPr id="2" name="Chart 1">
          <a:extLst>
            <a:ext uri="{FF2B5EF4-FFF2-40B4-BE49-F238E27FC236}">
              <a16:creationId xmlns:a16="http://schemas.microsoft.com/office/drawing/2014/main" id="{624493EE-79AD-494C-BBB7-8362C279B614}"/>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fuden" refreshedDate="44251.578902314817" createdVersion="6" refreshedVersion="6" minRefreshableVersion="3" recordCount="46" xr:uid="{57AF5CC9-ED34-48D2-A92B-549F5D9C137A}">
  <cacheSource type="worksheet">
    <worksheetSource name="Table1"/>
  </cacheSource>
  <cacheFields count="11">
    <cacheField name="Ordernr" numFmtId="165">
      <sharedItems containsSemiMixedTypes="0" containsString="0" containsNumber="1" containsInteger="1" minValue="1" maxValue="46"/>
    </cacheField>
    <cacheField name="Vara" numFmtId="0">
      <sharedItems count="4">
        <s v="Budget"/>
        <s v="Elegant"/>
        <s v="Europa"/>
        <s v="Ekonomi"/>
      </sharedItems>
    </cacheField>
    <cacheField name="Belopp" numFmtId="3">
      <sharedItems containsSemiMixedTypes="0" containsString="0" containsNumber="1" containsInteger="1" minValue="15000" maxValue="90000"/>
    </cacheField>
    <cacheField name="Månad" numFmtId="0">
      <sharedItems count="10">
        <s v="januari"/>
        <s v="Februari"/>
        <s v="Mars"/>
        <s v="April"/>
        <s v="Maj"/>
        <s v="Juni"/>
        <s v="Augusti"/>
        <s v="September"/>
        <s v="Oktober"/>
        <s v="November"/>
      </sharedItems>
    </cacheField>
    <cacheField name="Säljare" numFmtId="0">
      <sharedItems count="4">
        <s v="Kalle"/>
        <s v="Peter"/>
        <s v="Sven"/>
        <s v="Ulla"/>
      </sharedItems>
    </cacheField>
    <cacheField name="Distrikt" numFmtId="0">
      <sharedItems count="3">
        <s v="Norr"/>
        <s v="Mitt"/>
        <s v="Syd"/>
      </sharedItems>
    </cacheField>
    <cacheField name="Datum" numFmtId="14">
      <sharedItems containsSemiMixedTypes="0" containsNonDate="0" containsDate="1" containsString="0" minDate="2013-09-01T00:00:00" maxDate="2014-05-30T00:00:00" count="46">
        <d v="2013-09-01T00:00:00"/>
        <d v="2013-09-07T00:00:00"/>
        <d v="2013-09-13T00:00:00"/>
        <d v="2013-09-19T00:00:00"/>
        <d v="2013-09-25T00:00:00"/>
        <d v="2013-10-01T00:00:00"/>
        <d v="2013-10-07T00:00:00"/>
        <d v="2013-10-13T00:00:00"/>
        <d v="2013-10-19T00:00:00"/>
        <d v="2013-10-25T00:00:00"/>
        <d v="2013-10-31T00:00:00"/>
        <d v="2013-11-06T00:00:00"/>
        <d v="2013-11-12T00:00:00"/>
        <d v="2013-11-18T00:00:00"/>
        <d v="2013-11-24T00:00:00"/>
        <d v="2013-11-30T00:00:00"/>
        <d v="2013-12-06T00:00:00"/>
        <d v="2013-12-12T00:00:00"/>
        <d v="2013-12-18T00:00:00"/>
        <d v="2013-12-24T00:00:00"/>
        <d v="2013-12-30T00:00:00"/>
        <d v="2014-01-05T00:00:00"/>
        <d v="2014-01-11T00:00:00"/>
        <d v="2014-01-17T00:00:00"/>
        <d v="2014-01-23T00:00:00"/>
        <d v="2014-01-29T00:00:00"/>
        <d v="2014-02-04T00:00:00"/>
        <d v="2014-02-10T00:00:00"/>
        <d v="2014-02-16T00:00:00"/>
        <d v="2014-02-22T00:00:00"/>
        <d v="2014-02-28T00:00:00"/>
        <d v="2014-03-06T00:00:00"/>
        <d v="2014-03-12T00:00:00"/>
        <d v="2014-03-18T00:00:00"/>
        <d v="2014-03-24T00:00:00"/>
        <d v="2014-03-30T00:00:00"/>
        <d v="2014-04-05T00:00:00"/>
        <d v="2014-04-11T00:00:00"/>
        <d v="2014-04-17T00:00:00"/>
        <d v="2014-04-23T00:00:00"/>
        <d v="2014-04-29T00:00:00"/>
        <d v="2014-05-05T00:00:00"/>
        <d v="2014-05-11T00:00:00"/>
        <d v="2014-05-17T00:00:00"/>
        <d v="2014-05-23T00:00:00"/>
        <d v="2014-05-29T00:00:00"/>
      </sharedItems>
      <fieldGroup par="10" base="6">
        <rangePr groupBy="quarters" startDate="2013-09-01T00:00:00" endDate="2014-05-30T00:00:00"/>
        <groupItems count="6">
          <s v="&lt;2013-09-01"/>
          <s v="Qtr1"/>
          <s v="Qtr2"/>
          <s v="Qtr3"/>
          <s v="Qtr4"/>
          <s v="&gt;2014-05-30"/>
        </groupItems>
      </fieldGroup>
    </cacheField>
    <cacheField name="Moms" numFmtId="3">
      <sharedItems containsSemiMixedTypes="0" containsString="0" containsNumber="1" containsInteger="1" minValue="3750" maxValue="22500"/>
    </cacheField>
    <cacheField name="Provision2" numFmtId="0">
      <sharedItems containsSemiMixedTypes="0" containsString="0" containsNumber="1" containsInteger="1" minValue="750" maxValue="9000"/>
    </cacheField>
    <cacheField name="Provision" numFmtId="0" formula="IF(Belopp&gt;30000,Belopp*0.1,Belopp*0.05)" databaseField="0"/>
    <cacheField name="Years" numFmtId="0" databaseField="0">
      <fieldGroup base="6">
        <rangePr groupBy="years" startDate="2013-09-01T00:00:00" endDate="2014-05-30T00:00:00"/>
        <groupItems count="4">
          <s v="&lt;2013-09-01"/>
          <s v="2013"/>
          <s v="2014"/>
          <s v="&gt;2014-05-30"/>
        </groupItems>
      </fieldGroup>
    </cacheField>
  </cacheFields>
  <extLst>
    <ext xmlns:x14="http://schemas.microsoft.com/office/spreadsheetml/2009/9/main" uri="{725AE2AE-9491-48be-B2B4-4EB974FC3084}">
      <x14:pivotCacheDefinition pivotCacheId="154658805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
  <r>
    <n v="1"/>
    <x v="0"/>
    <n v="90000"/>
    <x v="0"/>
    <x v="0"/>
    <x v="0"/>
    <x v="0"/>
    <n v="22500"/>
    <n v="9000"/>
  </r>
  <r>
    <n v="4"/>
    <x v="1"/>
    <n v="32000"/>
    <x v="0"/>
    <x v="1"/>
    <x v="1"/>
    <x v="1"/>
    <n v="8000"/>
    <n v="3200"/>
  </r>
  <r>
    <n v="3"/>
    <x v="2"/>
    <n v="24500"/>
    <x v="0"/>
    <x v="2"/>
    <x v="1"/>
    <x v="2"/>
    <n v="6125"/>
    <n v="1225"/>
  </r>
  <r>
    <n v="2"/>
    <x v="3"/>
    <n v="22000"/>
    <x v="0"/>
    <x v="3"/>
    <x v="2"/>
    <x v="3"/>
    <n v="5500"/>
    <n v="1100"/>
  </r>
  <r>
    <n v="7"/>
    <x v="2"/>
    <n v="24500"/>
    <x v="1"/>
    <x v="1"/>
    <x v="1"/>
    <x v="4"/>
    <n v="6125"/>
    <n v="1225"/>
  </r>
  <r>
    <n v="9"/>
    <x v="0"/>
    <n v="15000"/>
    <x v="1"/>
    <x v="2"/>
    <x v="1"/>
    <x v="5"/>
    <n v="3750"/>
    <n v="750"/>
  </r>
  <r>
    <n v="6"/>
    <x v="3"/>
    <n v="22000"/>
    <x v="1"/>
    <x v="2"/>
    <x v="1"/>
    <x v="6"/>
    <n v="5500"/>
    <n v="1100"/>
  </r>
  <r>
    <n v="8"/>
    <x v="1"/>
    <n v="32000"/>
    <x v="1"/>
    <x v="3"/>
    <x v="2"/>
    <x v="7"/>
    <n v="8000"/>
    <n v="3200"/>
  </r>
  <r>
    <n v="5"/>
    <x v="0"/>
    <n v="15000"/>
    <x v="1"/>
    <x v="3"/>
    <x v="2"/>
    <x v="8"/>
    <n v="3750"/>
    <n v="750"/>
  </r>
  <r>
    <n v="13"/>
    <x v="1"/>
    <n v="32000"/>
    <x v="2"/>
    <x v="0"/>
    <x v="0"/>
    <x v="9"/>
    <n v="8000"/>
    <n v="3200"/>
  </r>
  <r>
    <n v="12"/>
    <x v="2"/>
    <n v="24500"/>
    <x v="2"/>
    <x v="0"/>
    <x v="0"/>
    <x v="10"/>
    <n v="6125"/>
    <n v="1225"/>
  </r>
  <r>
    <n v="10"/>
    <x v="0"/>
    <n v="15000"/>
    <x v="2"/>
    <x v="0"/>
    <x v="0"/>
    <x v="11"/>
    <n v="3750"/>
    <n v="750"/>
  </r>
  <r>
    <n v="14"/>
    <x v="0"/>
    <n v="15000"/>
    <x v="2"/>
    <x v="3"/>
    <x v="2"/>
    <x v="12"/>
    <n v="3750"/>
    <n v="750"/>
  </r>
  <r>
    <n v="11"/>
    <x v="3"/>
    <n v="22000"/>
    <x v="2"/>
    <x v="3"/>
    <x v="2"/>
    <x v="13"/>
    <n v="5500"/>
    <n v="1100"/>
  </r>
  <r>
    <n v="15"/>
    <x v="0"/>
    <n v="15000"/>
    <x v="3"/>
    <x v="0"/>
    <x v="0"/>
    <x v="14"/>
    <n v="3750"/>
    <n v="750"/>
  </r>
  <r>
    <n v="18"/>
    <x v="1"/>
    <n v="32000"/>
    <x v="3"/>
    <x v="1"/>
    <x v="1"/>
    <x v="15"/>
    <n v="8000"/>
    <n v="3200"/>
  </r>
  <r>
    <n v="17"/>
    <x v="2"/>
    <n v="24500"/>
    <x v="3"/>
    <x v="2"/>
    <x v="1"/>
    <x v="16"/>
    <n v="6125"/>
    <n v="1225"/>
  </r>
  <r>
    <n v="16"/>
    <x v="3"/>
    <n v="22000"/>
    <x v="3"/>
    <x v="3"/>
    <x v="2"/>
    <x v="17"/>
    <n v="5500"/>
    <n v="1100"/>
  </r>
  <r>
    <n v="21"/>
    <x v="2"/>
    <n v="24500"/>
    <x v="4"/>
    <x v="1"/>
    <x v="1"/>
    <x v="18"/>
    <n v="6125"/>
    <n v="1225"/>
  </r>
  <r>
    <n v="23"/>
    <x v="0"/>
    <n v="15000"/>
    <x v="4"/>
    <x v="2"/>
    <x v="1"/>
    <x v="19"/>
    <n v="3750"/>
    <n v="750"/>
  </r>
  <r>
    <n v="20"/>
    <x v="3"/>
    <n v="22000"/>
    <x v="4"/>
    <x v="2"/>
    <x v="1"/>
    <x v="20"/>
    <n v="5500"/>
    <n v="1100"/>
  </r>
  <r>
    <n v="22"/>
    <x v="1"/>
    <n v="32000"/>
    <x v="4"/>
    <x v="3"/>
    <x v="2"/>
    <x v="21"/>
    <n v="8000"/>
    <n v="3200"/>
  </r>
  <r>
    <n v="19"/>
    <x v="0"/>
    <n v="15000"/>
    <x v="4"/>
    <x v="3"/>
    <x v="2"/>
    <x v="22"/>
    <n v="3750"/>
    <n v="750"/>
  </r>
  <r>
    <n v="27"/>
    <x v="1"/>
    <n v="32000"/>
    <x v="5"/>
    <x v="0"/>
    <x v="0"/>
    <x v="23"/>
    <n v="8000"/>
    <n v="3200"/>
  </r>
  <r>
    <n v="26"/>
    <x v="2"/>
    <n v="24500"/>
    <x v="5"/>
    <x v="0"/>
    <x v="0"/>
    <x v="24"/>
    <n v="6125"/>
    <n v="1225"/>
  </r>
  <r>
    <n v="24"/>
    <x v="0"/>
    <n v="15000"/>
    <x v="5"/>
    <x v="0"/>
    <x v="0"/>
    <x v="25"/>
    <n v="3750"/>
    <n v="750"/>
  </r>
  <r>
    <n v="28"/>
    <x v="0"/>
    <n v="15000"/>
    <x v="5"/>
    <x v="3"/>
    <x v="2"/>
    <x v="26"/>
    <n v="3750"/>
    <n v="750"/>
  </r>
  <r>
    <n v="25"/>
    <x v="3"/>
    <n v="22000"/>
    <x v="5"/>
    <x v="3"/>
    <x v="2"/>
    <x v="27"/>
    <n v="5500"/>
    <n v="1100"/>
  </r>
  <r>
    <n v="29"/>
    <x v="0"/>
    <n v="15000"/>
    <x v="6"/>
    <x v="0"/>
    <x v="0"/>
    <x v="28"/>
    <n v="3750"/>
    <n v="750"/>
  </r>
  <r>
    <n v="32"/>
    <x v="1"/>
    <n v="32000"/>
    <x v="6"/>
    <x v="1"/>
    <x v="1"/>
    <x v="29"/>
    <n v="8000"/>
    <n v="3200"/>
  </r>
  <r>
    <n v="31"/>
    <x v="2"/>
    <n v="24500"/>
    <x v="6"/>
    <x v="2"/>
    <x v="1"/>
    <x v="30"/>
    <n v="6125"/>
    <n v="1225"/>
  </r>
  <r>
    <n v="30"/>
    <x v="3"/>
    <n v="22000"/>
    <x v="6"/>
    <x v="3"/>
    <x v="2"/>
    <x v="31"/>
    <n v="5500"/>
    <n v="1100"/>
  </r>
  <r>
    <n v="35"/>
    <x v="2"/>
    <n v="24500"/>
    <x v="7"/>
    <x v="1"/>
    <x v="1"/>
    <x v="32"/>
    <n v="6125"/>
    <n v="1225"/>
  </r>
  <r>
    <n v="37"/>
    <x v="0"/>
    <n v="15000"/>
    <x v="7"/>
    <x v="2"/>
    <x v="1"/>
    <x v="33"/>
    <n v="3750"/>
    <n v="750"/>
  </r>
  <r>
    <n v="34"/>
    <x v="3"/>
    <n v="22000"/>
    <x v="7"/>
    <x v="2"/>
    <x v="1"/>
    <x v="34"/>
    <n v="5500"/>
    <n v="1100"/>
  </r>
  <r>
    <n v="36"/>
    <x v="1"/>
    <n v="32000"/>
    <x v="7"/>
    <x v="3"/>
    <x v="2"/>
    <x v="35"/>
    <n v="8000"/>
    <n v="3200"/>
  </r>
  <r>
    <n v="33"/>
    <x v="0"/>
    <n v="15000"/>
    <x v="7"/>
    <x v="3"/>
    <x v="2"/>
    <x v="36"/>
    <n v="3750"/>
    <n v="750"/>
  </r>
  <r>
    <n v="41"/>
    <x v="1"/>
    <n v="32000"/>
    <x v="8"/>
    <x v="0"/>
    <x v="0"/>
    <x v="37"/>
    <n v="8000"/>
    <n v="3200"/>
  </r>
  <r>
    <n v="40"/>
    <x v="2"/>
    <n v="24500"/>
    <x v="8"/>
    <x v="0"/>
    <x v="0"/>
    <x v="38"/>
    <n v="6125"/>
    <n v="1225"/>
  </r>
  <r>
    <n v="38"/>
    <x v="0"/>
    <n v="15000"/>
    <x v="8"/>
    <x v="0"/>
    <x v="0"/>
    <x v="39"/>
    <n v="3750"/>
    <n v="750"/>
  </r>
  <r>
    <n v="42"/>
    <x v="0"/>
    <n v="15000"/>
    <x v="8"/>
    <x v="3"/>
    <x v="2"/>
    <x v="40"/>
    <n v="3750"/>
    <n v="750"/>
  </r>
  <r>
    <n v="39"/>
    <x v="3"/>
    <n v="22000"/>
    <x v="8"/>
    <x v="3"/>
    <x v="2"/>
    <x v="41"/>
    <n v="5500"/>
    <n v="1100"/>
  </r>
  <r>
    <n v="43"/>
    <x v="0"/>
    <n v="15000"/>
    <x v="9"/>
    <x v="0"/>
    <x v="0"/>
    <x v="42"/>
    <n v="3750"/>
    <n v="750"/>
  </r>
  <r>
    <n v="46"/>
    <x v="1"/>
    <n v="32000"/>
    <x v="9"/>
    <x v="1"/>
    <x v="1"/>
    <x v="43"/>
    <n v="8000"/>
    <n v="3200"/>
  </r>
  <r>
    <n v="45"/>
    <x v="2"/>
    <n v="24500"/>
    <x v="9"/>
    <x v="2"/>
    <x v="1"/>
    <x v="44"/>
    <n v="6125"/>
    <n v="1225"/>
  </r>
  <r>
    <n v="44"/>
    <x v="3"/>
    <n v="22000"/>
    <x v="9"/>
    <x v="3"/>
    <x v="2"/>
    <x v="45"/>
    <n v="5500"/>
    <n v="11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102BF1D-687C-438F-BAE1-92FA94EE79EB}" name="PivotTable1"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3:F55" firstHeaderRow="0" firstDataRow="1" firstDataCol="2"/>
  <pivotFields count="11">
    <pivotField compact="0" numFmtId="165" outline="0" showAll="0" insertBlankRow="1"/>
    <pivotField compact="0" outline="0" showAll="0" insertBlankRow="1">
      <items count="5">
        <item x="2"/>
        <item x="0"/>
        <item x="1"/>
        <item x="3"/>
        <item t="default"/>
      </items>
    </pivotField>
    <pivotField dataField="1" compact="0" numFmtId="3" outline="0" showAll="0" insertBlankRow="1"/>
    <pivotField axis="axisRow" compact="0" outline="0" showAll="0" insertBlankRow="1" nonAutoSortDefault="1">
      <items count="11">
        <item x="0"/>
        <item x="1"/>
        <item x="2"/>
        <item x="3"/>
        <item x="4"/>
        <item x="5"/>
        <item x="6"/>
        <item x="7"/>
        <item x="8"/>
        <item x="9"/>
        <item t="default"/>
      </items>
    </pivotField>
    <pivotField axis="axisRow" compact="0" outline="0" showAll="0" insertBlankRow="1">
      <items count="5">
        <item x="0"/>
        <item x="1"/>
        <item x="2"/>
        <item x="3"/>
        <item t="default"/>
      </items>
    </pivotField>
    <pivotField compact="0" outline="0" showAll="0" insertBlankRow="1">
      <items count="4">
        <item x="1"/>
        <item x="0"/>
        <item x="2"/>
        <item t="default"/>
      </items>
    </pivotField>
    <pivotField compact="0" numFmtId="14" outline="0" showAll="0" insertBlankRow="1">
      <items count="7">
        <item x="0"/>
        <item x="1"/>
        <item x="2"/>
        <item x="3"/>
        <item x="4"/>
        <item x="5"/>
        <item t="default"/>
      </items>
    </pivotField>
    <pivotField compact="0" numFmtId="3" outline="0" showAll="0" insertBlankRow="1"/>
    <pivotField dataField="1" compact="0" outline="0" subtotalTop="0" showAll="0" insertBlankRow="1"/>
    <pivotField dataField="1" compact="0" outline="0" dragToRow="0" dragToCol="0" dragToPage="0" showAll="0" insertBlankRow="1" defaultSubtotal="0"/>
    <pivotField compact="0" outline="0" subtotalTop="0" showAll="0" insertBlankRow="1">
      <items count="5">
        <item x="0"/>
        <item x="1"/>
        <item x="2"/>
        <item x="3"/>
        <item t="default"/>
      </items>
    </pivotField>
  </pivotFields>
  <rowFields count="2">
    <field x="3"/>
    <field x="4"/>
  </rowFields>
  <rowItems count="52">
    <i>
      <x/>
      <x/>
    </i>
    <i r="1">
      <x v="1"/>
    </i>
    <i r="1">
      <x v="2"/>
    </i>
    <i r="1">
      <x v="3"/>
    </i>
    <i t="default">
      <x/>
    </i>
    <i t="blank">
      <x/>
    </i>
    <i>
      <x v="1"/>
      <x v="1"/>
    </i>
    <i r="1">
      <x v="2"/>
    </i>
    <i r="1">
      <x v="3"/>
    </i>
    <i t="default">
      <x v="1"/>
    </i>
    <i t="blank">
      <x v="1"/>
    </i>
    <i>
      <x v="2"/>
      <x/>
    </i>
    <i r="1">
      <x v="3"/>
    </i>
    <i t="default">
      <x v="2"/>
    </i>
    <i t="blank">
      <x v="2"/>
    </i>
    <i>
      <x v="3"/>
      <x/>
    </i>
    <i r="1">
      <x v="1"/>
    </i>
    <i r="1">
      <x v="2"/>
    </i>
    <i r="1">
      <x v="3"/>
    </i>
    <i t="default">
      <x v="3"/>
    </i>
    <i t="blank">
      <x v="3"/>
    </i>
    <i>
      <x v="4"/>
      <x v="1"/>
    </i>
    <i r="1">
      <x v="2"/>
    </i>
    <i r="1">
      <x v="3"/>
    </i>
    <i t="default">
      <x v="4"/>
    </i>
    <i t="blank">
      <x v="4"/>
    </i>
    <i>
      <x v="5"/>
      <x/>
    </i>
    <i r="1">
      <x v="3"/>
    </i>
    <i t="default">
      <x v="5"/>
    </i>
    <i t="blank">
      <x v="5"/>
    </i>
    <i>
      <x v="6"/>
      <x/>
    </i>
    <i r="1">
      <x v="1"/>
    </i>
    <i r="1">
      <x v="2"/>
    </i>
    <i r="1">
      <x v="3"/>
    </i>
    <i t="default">
      <x v="6"/>
    </i>
    <i t="blank">
      <x v="6"/>
    </i>
    <i>
      <x v="7"/>
      <x v="1"/>
    </i>
    <i r="1">
      <x v="2"/>
    </i>
    <i r="1">
      <x v="3"/>
    </i>
    <i t="default">
      <x v="7"/>
    </i>
    <i t="blank">
      <x v="7"/>
    </i>
    <i>
      <x v="8"/>
      <x/>
    </i>
    <i r="1">
      <x v="3"/>
    </i>
    <i t="default">
      <x v="8"/>
    </i>
    <i t="blank">
      <x v="8"/>
    </i>
    <i>
      <x v="9"/>
      <x/>
    </i>
    <i r="1">
      <x v="1"/>
    </i>
    <i r="1">
      <x v="2"/>
    </i>
    <i r="1">
      <x v="3"/>
    </i>
    <i t="default">
      <x v="9"/>
    </i>
    <i t="blank">
      <x v="9"/>
    </i>
    <i t="grand">
      <x/>
    </i>
  </rowItems>
  <colFields count="1">
    <field x="-2"/>
  </colFields>
  <colItems count="4">
    <i>
      <x/>
    </i>
    <i i="1">
      <x v="1"/>
    </i>
    <i i="2">
      <x v="2"/>
    </i>
    <i i="3">
      <x v="3"/>
    </i>
  </colItems>
  <dataFields count="4">
    <dataField name="Belopp " fld="2" baseField="4" baseItem="0" numFmtId="166"/>
    <dataField name="Andel" fld="2" baseField="0" baseItem="0" numFmtId="10">
      <extLst>
        <ext xmlns:x14="http://schemas.microsoft.com/office/spreadsheetml/2009/9/main" uri="{E15A36E0-9728-4e99-A89B-3F7291B0FE68}">
          <x14:dataField pivotShowAs="percentOfParentRow"/>
        </ext>
      </extLst>
    </dataField>
    <dataField name="Beräkning i Pivot" fld="9" baseField="4" baseItem="0" numFmtId="166"/>
    <dataField name="Beräkning i tabell" fld="8" baseField="4" baseItem="0" numFmtId="166"/>
  </dataFields>
  <pivotTableStyleInfo name="PivotStyleMedium1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3AE472F-19B1-46CD-9EB6-EBEA457B5C15}"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9" firstHeaderRow="1" firstDataRow="2" firstDataCol="1"/>
  <pivotFields count="11">
    <pivotField numFmtId="165" showAll="0"/>
    <pivotField showAll="0"/>
    <pivotField dataField="1" numFmtId="3" showAll="0"/>
    <pivotField showAll="0"/>
    <pivotField showAll="0"/>
    <pivotField showAll="0"/>
    <pivotField axis="axisRow" numFmtId="14" showAll="0">
      <items count="7">
        <item x="0"/>
        <item x="1"/>
        <item x="2"/>
        <item x="3"/>
        <item x="4"/>
        <item x="5"/>
        <item t="default"/>
      </items>
    </pivotField>
    <pivotField numFmtId="3" showAll="0"/>
    <pivotField showAll="0"/>
    <pivotField dragToRow="0" dragToCol="0" dragToPage="0" showAll="0" defaultSubtotal="0"/>
    <pivotField axis="axisCol" showAll="0">
      <items count="5">
        <item x="0"/>
        <item x="1"/>
        <item x="2"/>
        <item x="3"/>
        <item t="default"/>
      </items>
    </pivotField>
  </pivotFields>
  <rowFields count="1">
    <field x="6"/>
  </rowFields>
  <rowItems count="5">
    <i>
      <x v="1"/>
    </i>
    <i>
      <x v="2"/>
    </i>
    <i>
      <x v="3"/>
    </i>
    <i>
      <x v="4"/>
    </i>
    <i t="grand">
      <x/>
    </i>
  </rowItems>
  <colFields count="1">
    <field x="10"/>
  </colFields>
  <colItems count="3">
    <i>
      <x v="1"/>
    </i>
    <i>
      <x v="2"/>
    </i>
    <i t="grand">
      <x/>
    </i>
  </colItems>
  <dataFields count="1">
    <dataField name="Sum of Belopp" fld="2" baseField="0" baseItem="0"/>
  </dataField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54A3575-26B7-4F04-82B1-E2DFE12D224C}"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1:F24" firstHeaderRow="1" firstDataRow="2" firstDataCol="1"/>
  <pivotFields count="11">
    <pivotField numFmtId="165" showAll="0"/>
    <pivotField axis="axisCol" showAll="0">
      <items count="5">
        <item x="2"/>
        <item x="0"/>
        <item x="1"/>
        <item x="3"/>
        <item t="default"/>
      </items>
    </pivotField>
    <pivotField dataField="1" numFmtId="3" showAll="0"/>
    <pivotField axis="axisRow" showAll="0">
      <items count="11">
        <item x="0"/>
        <item x="1"/>
        <item x="2"/>
        <item x="3"/>
        <item x="4"/>
        <item x="5"/>
        <item x="6"/>
        <item x="7"/>
        <item x="8"/>
        <item x="9"/>
        <item t="default"/>
      </items>
    </pivotField>
    <pivotField showAll="0"/>
    <pivotField showAll="0"/>
    <pivotField numFmtId="14" showAll="0">
      <items count="7">
        <item x="0"/>
        <item x="1"/>
        <item x="2"/>
        <item x="3"/>
        <item x="4"/>
        <item x="5"/>
        <item t="default"/>
      </items>
    </pivotField>
    <pivotField numFmtId="3" showAll="0"/>
    <pivotField showAll="0"/>
    <pivotField dragToRow="0" dragToCol="0" dragToPage="0" showAll="0" defaultSubtotal="0"/>
    <pivotField axis="axisRow" showAll="0" defaultSubtotal="0">
      <items count="4">
        <item sd="0" x="0"/>
        <item sd="0" x="1"/>
        <item sd="0" x="2"/>
        <item sd="0" x="3"/>
      </items>
    </pivotField>
  </pivotFields>
  <rowFields count="2">
    <field x="3"/>
    <field x="10"/>
  </rowFields>
  <rowItems count="22">
    <i>
      <x/>
    </i>
    <i r="1">
      <x v="1"/>
    </i>
    <i>
      <x v="1"/>
    </i>
    <i r="1">
      <x v="1"/>
    </i>
    <i>
      <x v="2"/>
    </i>
    <i r="1">
      <x v="1"/>
    </i>
    <i>
      <x v="3"/>
    </i>
    <i r="1">
      <x v="1"/>
    </i>
    <i>
      <x v="4"/>
    </i>
    <i r="1">
      <x v="1"/>
    </i>
    <i r="1">
      <x v="2"/>
    </i>
    <i>
      <x v="5"/>
    </i>
    <i r="1">
      <x v="2"/>
    </i>
    <i>
      <x v="6"/>
    </i>
    <i r="1">
      <x v="2"/>
    </i>
    <i>
      <x v="7"/>
    </i>
    <i r="1">
      <x v="2"/>
    </i>
    <i>
      <x v="8"/>
    </i>
    <i r="1">
      <x v="2"/>
    </i>
    <i>
      <x v="9"/>
    </i>
    <i r="1">
      <x v="2"/>
    </i>
    <i t="grand">
      <x/>
    </i>
  </rowItems>
  <colFields count="1">
    <field x="1"/>
  </colFields>
  <colItems count="5">
    <i>
      <x/>
    </i>
    <i>
      <x v="1"/>
    </i>
    <i>
      <x v="2"/>
    </i>
    <i>
      <x v="3"/>
    </i>
    <i t="grand">
      <x/>
    </i>
  </colItems>
  <dataFields count="1">
    <dataField name="Sum of Belopp" fld="2" baseField="0" baseItem="0"/>
  </dataFields>
  <chartFormats count="4">
    <chartFormat chart="1" format="5" series="1">
      <pivotArea type="data" outline="0" fieldPosition="0">
        <references count="2">
          <reference field="4294967294" count="1" selected="0">
            <x v="0"/>
          </reference>
          <reference field="1" count="1" selected="0">
            <x v="0"/>
          </reference>
        </references>
      </pivotArea>
    </chartFormat>
    <chartFormat chart="1" format="6" series="1">
      <pivotArea type="data" outline="0" fieldPosition="0">
        <references count="2">
          <reference field="4294967294" count="1" selected="0">
            <x v="0"/>
          </reference>
          <reference field="1" count="1" selected="0">
            <x v="1"/>
          </reference>
        </references>
      </pivotArea>
    </chartFormat>
    <chartFormat chart="1" format="7" series="1">
      <pivotArea type="data" outline="0" fieldPosition="0">
        <references count="2">
          <reference field="4294967294" count="1" selected="0">
            <x v="0"/>
          </reference>
          <reference field="1" count="1" selected="0">
            <x v="2"/>
          </reference>
        </references>
      </pivotArea>
    </chartFormat>
    <chartFormat chart="1" format="8" series="1">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ara" xr10:uid="{84E6C942-E316-4E0F-A022-10E8A306497A}" sourceName="Vara">
  <pivotTables>
    <pivotTable tabId="40" name="PivotTable1"/>
  </pivotTables>
  <data>
    <tabular pivotCacheId="1546588050">
      <items count="4">
        <i x="2" s="1"/>
        <i x="0" s="1"/>
        <i x="1"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trikt" xr10:uid="{920530E2-CC6B-4492-89C9-6950C2DD33D3}" sourceName="Distrikt">
  <pivotTables>
    <pivotTable tabId="40" name="PivotTable1"/>
  </pivotTables>
  <data>
    <tabular pivotCacheId="1546588050">
      <items count="3">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ara" xr10:uid="{84982638-BA24-4002-9949-8A8527876871}" cache="Slicer_Vara" caption="Vara" style="SlicerStyleLight4" rowHeight="225425"/>
  <slicer name="Distrikt" xr10:uid="{EADCBE45-301B-4A46-B600-76134C2D3FCF}" cache="Slicer_Distrikt" caption="Distrikt" style="SlicerStyleLight4"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F0E3252-3B31-4121-9EC3-00ABFE62BC9D}" name="Table1" displayName="Table1" ref="A1:I47" totalsRowShown="0" dataDxfId="18">
  <autoFilter ref="A1:I47" xr:uid="{A69509F7-4B7F-45A9-8BEF-509AACB30707}"/>
  <sortState xmlns:xlrd2="http://schemas.microsoft.com/office/spreadsheetml/2017/richdata2" ref="A2:H47">
    <sortCondition ref="D2:D47" customList="Januari,Februari,Mars,April,Maj,Juni,Juli,Augusti,September,Oktober,November,December"/>
  </sortState>
  <tableColumns count="9">
    <tableColumn id="1" xr3:uid="{995D5F70-4598-4B3E-AED6-1FEE57274B13}" name="Ordernr" dataDxfId="17"/>
    <tableColumn id="2" xr3:uid="{3D77CA2E-590B-4890-B451-D04E6929CB0C}" name="Vara" dataDxfId="16"/>
    <tableColumn id="3" xr3:uid="{788CEB8F-86DC-466E-9785-18474C8C8B44}" name="Belopp" dataDxfId="15"/>
    <tableColumn id="4" xr3:uid="{6088EDC9-82A5-4504-BAB4-7AE110DC7873}" name="Månad" dataDxfId="14"/>
    <tableColumn id="5" xr3:uid="{DAA59E0C-4210-46B5-8A9D-BCBBDED08405}" name="Säljare" dataDxfId="13"/>
    <tableColumn id="6" xr3:uid="{B90EB62D-14BD-4100-9FFD-166B7466FDF6}" name="Distrikt" dataDxfId="12"/>
    <tableColumn id="7" xr3:uid="{ACCAEB29-58C2-45A6-A27E-78573A3D18F3}" name="Datum" dataDxfId="11"/>
    <tableColumn id="8" xr3:uid="{78486419-A471-4EF9-B3C6-DD2EB55F6C05}" name="Moms" dataDxfId="10">
      <calculatedColumnFormula>Table1[[#This Row],[Belopp]]*0.25</calculatedColumnFormula>
    </tableColumn>
    <tableColumn id="9" xr3:uid="{B47F04D3-FBD5-443B-A13A-54658CFB974D}" name="Provision2" dataDxfId="9">
      <calculatedColumnFormula>IF(Table1[[#This Row],[Belopp]]&gt;30000,Table1[[#This Row],[Belopp]]*0.1,Table1[[#This Row],[Belopp]]*0.05)</calculatedColumnFormula>
    </tableColumn>
  </tableColumns>
  <tableStyleInfo name="TableStyleMedium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5"/>
  <dimension ref="A1:S53"/>
  <sheetViews>
    <sheetView workbookViewId="0">
      <selection activeCell="E38" sqref="E38"/>
    </sheetView>
  </sheetViews>
  <sheetFormatPr defaultRowHeight="18" x14ac:dyDescent="0.25"/>
  <cols>
    <col min="1" max="2" width="11.85546875" style="47" bestFit="1" customWidth="1"/>
    <col min="3" max="3" width="10.7109375" style="47" bestFit="1" customWidth="1"/>
    <col min="4" max="4" width="15" style="47" bestFit="1" customWidth="1"/>
    <col min="5" max="5" width="10.42578125" style="47" bestFit="1" customWidth="1"/>
    <col min="6" max="6" width="10.7109375" style="47" bestFit="1" customWidth="1"/>
  </cols>
  <sheetData>
    <row r="1" spans="1:19" s="21" customFormat="1" x14ac:dyDescent="0.25">
      <c r="A1" s="42" t="s">
        <v>396</v>
      </c>
      <c r="B1" s="43" t="s">
        <v>397</v>
      </c>
      <c r="C1" s="44" t="s">
        <v>398</v>
      </c>
      <c r="D1" s="45" t="s">
        <v>399</v>
      </c>
      <c r="E1" s="45" t="s">
        <v>400</v>
      </c>
      <c r="F1" s="43" t="s">
        <v>401</v>
      </c>
      <c r="I1"/>
      <c r="J1"/>
      <c r="K1" s="22"/>
    </row>
    <row r="2" spans="1:19" x14ac:dyDescent="0.25">
      <c r="A2" s="46">
        <v>17</v>
      </c>
      <c r="B2" s="47" t="s">
        <v>422</v>
      </c>
      <c r="C2" s="48">
        <v>24500</v>
      </c>
      <c r="D2" s="47" t="s">
        <v>411</v>
      </c>
      <c r="E2" s="47" t="s">
        <v>408</v>
      </c>
      <c r="F2" s="47" t="s">
        <v>409</v>
      </c>
      <c r="H2" s="47"/>
      <c r="I2" s="47"/>
      <c r="J2" s="47"/>
      <c r="K2" s="47"/>
      <c r="L2" s="47"/>
      <c r="M2" s="47"/>
    </row>
    <row r="3" spans="1:19" x14ac:dyDescent="0.25">
      <c r="A3" s="46">
        <v>35</v>
      </c>
      <c r="B3" s="47" t="s">
        <v>422</v>
      </c>
      <c r="C3" s="48">
        <v>24500</v>
      </c>
      <c r="D3" s="47" t="s">
        <v>415</v>
      </c>
      <c r="E3" s="47" t="s">
        <v>421</v>
      </c>
      <c r="F3" s="47" t="s">
        <v>409</v>
      </c>
      <c r="H3" s="47"/>
      <c r="I3" s="47"/>
      <c r="J3" s="47"/>
      <c r="K3" s="47"/>
      <c r="L3" s="47"/>
      <c r="M3" s="47"/>
      <c r="N3" s="47"/>
      <c r="O3" s="47"/>
      <c r="P3" s="47"/>
      <c r="Q3" s="47"/>
      <c r="R3" s="47"/>
      <c r="S3" s="47"/>
    </row>
    <row r="4" spans="1:19" x14ac:dyDescent="0.25">
      <c r="A4" s="46">
        <v>45</v>
      </c>
      <c r="B4" s="47" t="s">
        <v>422</v>
      </c>
      <c r="C4" s="48">
        <v>24500</v>
      </c>
      <c r="D4" s="47" t="s">
        <v>417</v>
      </c>
      <c r="E4" s="47" t="s">
        <v>408</v>
      </c>
      <c r="F4" s="47" t="s">
        <v>409</v>
      </c>
      <c r="H4" s="47"/>
      <c r="I4" s="47"/>
      <c r="J4" s="47"/>
      <c r="K4" s="47"/>
      <c r="L4" s="47"/>
      <c r="M4" s="47"/>
      <c r="N4" s="47"/>
      <c r="O4" s="47"/>
      <c r="P4" s="47"/>
      <c r="Q4" s="47"/>
      <c r="R4" s="47"/>
    </row>
    <row r="5" spans="1:19" x14ac:dyDescent="0.25">
      <c r="A5" s="46">
        <v>31</v>
      </c>
      <c r="B5" s="47" t="s">
        <v>422</v>
      </c>
      <c r="C5" s="48">
        <v>24500</v>
      </c>
      <c r="D5" s="47" t="s">
        <v>414</v>
      </c>
      <c r="E5" s="47" t="s">
        <v>408</v>
      </c>
      <c r="F5" s="47" t="s">
        <v>409</v>
      </c>
      <c r="H5" s="47"/>
      <c r="I5" s="47"/>
      <c r="J5" s="47"/>
      <c r="K5" s="47"/>
      <c r="L5" s="47"/>
      <c r="M5" s="47"/>
    </row>
    <row r="6" spans="1:19" x14ac:dyDescent="0.25">
      <c r="A6" s="46">
        <v>7</v>
      </c>
      <c r="B6" s="47" t="s">
        <v>422</v>
      </c>
      <c r="C6" s="48">
        <v>24500</v>
      </c>
      <c r="D6" s="47" t="s">
        <v>405</v>
      </c>
      <c r="E6" s="47" t="s">
        <v>421</v>
      </c>
      <c r="F6" s="47" t="s">
        <v>409</v>
      </c>
      <c r="H6" s="47"/>
      <c r="I6" s="47"/>
      <c r="J6" s="47"/>
      <c r="K6" s="47"/>
      <c r="L6" s="47"/>
      <c r="M6" s="47"/>
    </row>
    <row r="7" spans="1:19" x14ac:dyDescent="0.25">
      <c r="A7" s="46">
        <v>3</v>
      </c>
      <c r="B7" s="47" t="s">
        <v>422</v>
      </c>
      <c r="C7" s="48">
        <v>24500</v>
      </c>
      <c r="D7" s="47" t="s">
        <v>419</v>
      </c>
      <c r="E7" s="47" t="s">
        <v>408</v>
      </c>
      <c r="F7" s="47" t="s">
        <v>409</v>
      </c>
      <c r="H7" s="47"/>
      <c r="I7" s="47"/>
      <c r="J7" s="47"/>
      <c r="K7" s="47"/>
      <c r="L7" s="47"/>
      <c r="M7" s="47"/>
    </row>
    <row r="8" spans="1:19" x14ac:dyDescent="0.25">
      <c r="A8" s="46">
        <v>26</v>
      </c>
      <c r="B8" s="47" t="s">
        <v>422</v>
      </c>
      <c r="C8" s="48">
        <v>24500</v>
      </c>
      <c r="D8" s="47" t="s">
        <v>413</v>
      </c>
      <c r="E8" s="47" t="s">
        <v>403</v>
      </c>
      <c r="F8" s="47" t="s">
        <v>404</v>
      </c>
      <c r="I8" s="47"/>
      <c r="J8" s="47"/>
      <c r="K8" s="47"/>
      <c r="L8" s="47"/>
      <c r="M8" s="47"/>
    </row>
    <row r="9" spans="1:19" x14ac:dyDescent="0.25">
      <c r="A9" s="46">
        <v>21</v>
      </c>
      <c r="B9" s="47" t="s">
        <v>422</v>
      </c>
      <c r="C9" s="48">
        <v>24500</v>
      </c>
      <c r="D9" s="47" t="s">
        <v>412</v>
      </c>
      <c r="E9" s="47" t="s">
        <v>421</v>
      </c>
      <c r="F9" s="47" t="s">
        <v>409</v>
      </c>
      <c r="I9" s="47"/>
      <c r="J9" s="47"/>
      <c r="L9" s="47"/>
    </row>
    <row r="10" spans="1:19" x14ac:dyDescent="0.25">
      <c r="A10" s="46">
        <v>12</v>
      </c>
      <c r="B10" s="47" t="s">
        <v>422</v>
      </c>
      <c r="C10" s="48">
        <v>24500</v>
      </c>
      <c r="D10" s="47" t="s">
        <v>410</v>
      </c>
      <c r="E10" s="47" t="s">
        <v>403</v>
      </c>
      <c r="F10" s="47" t="s">
        <v>404</v>
      </c>
      <c r="I10" s="47"/>
      <c r="J10" s="47"/>
      <c r="L10" s="47"/>
    </row>
    <row r="11" spans="1:19" x14ac:dyDescent="0.25">
      <c r="A11" s="46">
        <v>40</v>
      </c>
      <c r="B11" s="47" t="s">
        <v>422</v>
      </c>
      <c r="C11" s="48">
        <v>24500</v>
      </c>
      <c r="D11" s="47" t="s">
        <v>416</v>
      </c>
      <c r="E11" s="47" t="s">
        <v>403</v>
      </c>
      <c r="F11" s="47" t="s">
        <v>404</v>
      </c>
      <c r="I11" s="47"/>
      <c r="J11" s="47"/>
      <c r="L11" s="47"/>
    </row>
    <row r="12" spans="1:19" x14ac:dyDescent="0.25">
      <c r="A12" s="46">
        <v>15</v>
      </c>
      <c r="B12" s="47" t="s">
        <v>402</v>
      </c>
      <c r="C12" s="48">
        <v>15000</v>
      </c>
      <c r="D12" s="47" t="s">
        <v>411</v>
      </c>
      <c r="E12" s="47" t="s">
        <v>403</v>
      </c>
      <c r="F12" s="47" t="s">
        <v>404</v>
      </c>
      <c r="I12" s="47"/>
      <c r="J12" s="47"/>
    </row>
    <row r="13" spans="1:19" x14ac:dyDescent="0.25">
      <c r="A13" s="46">
        <v>37</v>
      </c>
      <c r="B13" s="47" t="s">
        <v>402</v>
      </c>
      <c r="C13" s="48">
        <v>15000</v>
      </c>
      <c r="D13" s="47" t="s">
        <v>415</v>
      </c>
      <c r="E13" s="47" t="s">
        <v>408</v>
      </c>
      <c r="F13" s="47" t="s">
        <v>409</v>
      </c>
    </row>
    <row r="14" spans="1:19" x14ac:dyDescent="0.25">
      <c r="A14" s="46">
        <v>33</v>
      </c>
      <c r="B14" s="47" t="s">
        <v>402</v>
      </c>
      <c r="C14" s="48">
        <v>15000</v>
      </c>
      <c r="D14" s="47" t="s">
        <v>415</v>
      </c>
      <c r="E14" s="47" t="s">
        <v>406</v>
      </c>
      <c r="F14" s="47" t="s">
        <v>407</v>
      </c>
    </row>
    <row r="15" spans="1:19" x14ac:dyDescent="0.25">
      <c r="A15" s="46">
        <v>43</v>
      </c>
      <c r="B15" s="47" t="s">
        <v>402</v>
      </c>
      <c r="C15" s="48">
        <v>15000</v>
      </c>
      <c r="D15" s="47" t="s">
        <v>417</v>
      </c>
      <c r="E15" s="47" t="s">
        <v>403</v>
      </c>
      <c r="F15" s="47" t="s">
        <v>404</v>
      </c>
    </row>
    <row r="16" spans="1:19" x14ac:dyDescent="0.25">
      <c r="A16" s="46">
        <v>29</v>
      </c>
      <c r="B16" s="47" t="s">
        <v>402</v>
      </c>
      <c r="C16" s="48">
        <v>15000</v>
      </c>
      <c r="D16" s="47" t="s">
        <v>414</v>
      </c>
      <c r="E16" s="47" t="s">
        <v>403</v>
      </c>
      <c r="F16" s="47" t="s">
        <v>404</v>
      </c>
    </row>
    <row r="17" spans="1:6" x14ac:dyDescent="0.25">
      <c r="A17" s="46">
        <v>9</v>
      </c>
      <c r="B17" s="47" t="s">
        <v>402</v>
      </c>
      <c r="C17" s="48">
        <v>15000</v>
      </c>
      <c r="D17" s="47" t="s">
        <v>405</v>
      </c>
      <c r="E17" s="47" t="s">
        <v>408</v>
      </c>
      <c r="F17" s="47" t="s">
        <v>409</v>
      </c>
    </row>
    <row r="18" spans="1:6" x14ac:dyDescent="0.25">
      <c r="A18" s="46">
        <v>5</v>
      </c>
      <c r="B18" s="47" t="s">
        <v>402</v>
      </c>
      <c r="C18" s="48">
        <v>15000</v>
      </c>
      <c r="D18" s="47" t="s">
        <v>405</v>
      </c>
      <c r="E18" s="47" t="s">
        <v>406</v>
      </c>
      <c r="F18" s="47" t="s">
        <v>407</v>
      </c>
    </row>
    <row r="19" spans="1:6" x14ac:dyDescent="0.25">
      <c r="A19" s="46">
        <v>1</v>
      </c>
      <c r="B19" s="47" t="s">
        <v>402</v>
      </c>
      <c r="C19" s="48">
        <v>30000</v>
      </c>
      <c r="D19" s="47" t="s">
        <v>432</v>
      </c>
      <c r="E19" s="47" t="s">
        <v>403</v>
      </c>
      <c r="F19" s="47" t="s">
        <v>404</v>
      </c>
    </row>
    <row r="20" spans="1:6" x14ac:dyDescent="0.25">
      <c r="A20" s="46">
        <v>24</v>
      </c>
      <c r="B20" s="47" t="s">
        <v>402</v>
      </c>
      <c r="C20" s="48">
        <v>15000</v>
      </c>
      <c r="D20" s="47" t="s">
        <v>413</v>
      </c>
      <c r="E20" s="47" t="s">
        <v>403</v>
      </c>
      <c r="F20" s="47" t="s">
        <v>404</v>
      </c>
    </row>
    <row r="21" spans="1:6" x14ac:dyDescent="0.25">
      <c r="A21" s="46">
        <v>28</v>
      </c>
      <c r="B21" s="47" t="s">
        <v>402</v>
      </c>
      <c r="C21" s="48">
        <v>15000</v>
      </c>
      <c r="D21" s="47" t="s">
        <v>413</v>
      </c>
      <c r="E21" s="47" t="s">
        <v>406</v>
      </c>
      <c r="F21" s="47" t="s">
        <v>407</v>
      </c>
    </row>
    <row r="22" spans="1:6" x14ac:dyDescent="0.25">
      <c r="A22" s="46">
        <v>23</v>
      </c>
      <c r="B22" s="47" t="s">
        <v>402</v>
      </c>
      <c r="C22" s="48">
        <v>15000</v>
      </c>
      <c r="D22" s="47" t="s">
        <v>412</v>
      </c>
      <c r="E22" s="47" t="s">
        <v>408</v>
      </c>
      <c r="F22" s="47" t="s">
        <v>409</v>
      </c>
    </row>
    <row r="23" spans="1:6" x14ac:dyDescent="0.25">
      <c r="A23" s="46">
        <v>19</v>
      </c>
      <c r="B23" s="47" t="s">
        <v>402</v>
      </c>
      <c r="C23" s="48">
        <v>15000</v>
      </c>
      <c r="D23" s="47" t="s">
        <v>412</v>
      </c>
      <c r="E23" s="47" t="s">
        <v>406</v>
      </c>
      <c r="F23" s="47" t="s">
        <v>407</v>
      </c>
    </row>
    <row r="24" spans="1:6" x14ac:dyDescent="0.25">
      <c r="A24" s="46">
        <v>10</v>
      </c>
      <c r="B24" s="47" t="s">
        <v>402</v>
      </c>
      <c r="C24" s="48">
        <v>15000</v>
      </c>
      <c r="D24" s="47" t="s">
        <v>410</v>
      </c>
      <c r="E24" s="47" t="s">
        <v>403</v>
      </c>
      <c r="F24" s="47" t="s">
        <v>404</v>
      </c>
    </row>
    <row r="25" spans="1:6" x14ac:dyDescent="0.25">
      <c r="A25" s="46">
        <v>14</v>
      </c>
      <c r="B25" s="47" t="s">
        <v>402</v>
      </c>
      <c r="C25" s="48">
        <v>15000</v>
      </c>
      <c r="D25" s="47" t="s">
        <v>410</v>
      </c>
      <c r="E25" s="47" t="s">
        <v>406</v>
      </c>
      <c r="F25" s="47" t="s">
        <v>407</v>
      </c>
    </row>
    <row r="26" spans="1:6" x14ac:dyDescent="0.25">
      <c r="A26" s="46">
        <v>38</v>
      </c>
      <c r="B26" s="47" t="s">
        <v>402</v>
      </c>
      <c r="C26" s="48">
        <v>15000</v>
      </c>
      <c r="D26" s="47" t="s">
        <v>416</v>
      </c>
      <c r="E26" s="47" t="s">
        <v>403</v>
      </c>
      <c r="F26" s="47" t="s">
        <v>404</v>
      </c>
    </row>
    <row r="27" spans="1:6" x14ac:dyDescent="0.25">
      <c r="A27" s="46">
        <v>42</v>
      </c>
      <c r="B27" s="47" t="s">
        <v>402</v>
      </c>
      <c r="C27" s="48">
        <v>15000</v>
      </c>
      <c r="D27" s="47" t="s">
        <v>416</v>
      </c>
      <c r="E27" s="47" t="s">
        <v>406</v>
      </c>
      <c r="F27" s="47" t="s">
        <v>407</v>
      </c>
    </row>
    <row r="28" spans="1:6" x14ac:dyDescent="0.25">
      <c r="A28" s="46">
        <v>18</v>
      </c>
      <c r="B28" s="47" t="s">
        <v>420</v>
      </c>
      <c r="C28" s="48">
        <v>32000</v>
      </c>
      <c r="D28" s="47" t="s">
        <v>411</v>
      </c>
      <c r="E28" s="47" t="s">
        <v>421</v>
      </c>
      <c r="F28" s="47" t="s">
        <v>409</v>
      </c>
    </row>
    <row r="29" spans="1:6" x14ac:dyDescent="0.25">
      <c r="A29" s="46">
        <v>36</v>
      </c>
      <c r="B29" s="47" t="s">
        <v>420</v>
      </c>
      <c r="C29" s="48">
        <v>32000</v>
      </c>
      <c r="D29" s="47" t="s">
        <v>415</v>
      </c>
      <c r="E29" s="47" t="s">
        <v>406</v>
      </c>
      <c r="F29" s="47" t="s">
        <v>407</v>
      </c>
    </row>
    <row r="30" spans="1:6" x14ac:dyDescent="0.25">
      <c r="A30" s="46">
        <v>46</v>
      </c>
      <c r="B30" s="47" t="s">
        <v>420</v>
      </c>
      <c r="C30" s="48">
        <v>32000</v>
      </c>
      <c r="D30" s="47" t="s">
        <v>417</v>
      </c>
      <c r="E30" s="47" t="s">
        <v>421</v>
      </c>
      <c r="F30" s="47" t="s">
        <v>409</v>
      </c>
    </row>
    <row r="31" spans="1:6" x14ac:dyDescent="0.25">
      <c r="A31" s="46">
        <v>32</v>
      </c>
      <c r="B31" s="47" t="s">
        <v>420</v>
      </c>
      <c r="C31" s="48">
        <v>32000</v>
      </c>
      <c r="D31" s="47" t="s">
        <v>414</v>
      </c>
      <c r="E31" s="47" t="s">
        <v>421</v>
      </c>
      <c r="F31" s="47" t="s">
        <v>409</v>
      </c>
    </row>
    <row r="32" spans="1:6" x14ac:dyDescent="0.25">
      <c r="A32" s="46">
        <v>8</v>
      </c>
      <c r="B32" s="47" t="s">
        <v>420</v>
      </c>
      <c r="C32" s="48">
        <v>32000</v>
      </c>
      <c r="D32" s="47" t="s">
        <v>405</v>
      </c>
      <c r="E32" s="47" t="s">
        <v>406</v>
      </c>
      <c r="F32" s="47" t="s">
        <v>407</v>
      </c>
    </row>
    <row r="33" spans="1:6" x14ac:dyDescent="0.25">
      <c r="A33" s="46">
        <v>4</v>
      </c>
      <c r="B33" s="47" t="s">
        <v>420</v>
      </c>
      <c r="C33" s="48">
        <v>32000</v>
      </c>
      <c r="D33" s="47" t="s">
        <v>419</v>
      </c>
      <c r="E33" s="47" t="s">
        <v>421</v>
      </c>
      <c r="F33" s="47" t="s">
        <v>409</v>
      </c>
    </row>
    <row r="34" spans="1:6" x14ac:dyDescent="0.25">
      <c r="A34" s="46">
        <v>27</v>
      </c>
      <c r="B34" s="47" t="s">
        <v>420</v>
      </c>
      <c r="C34" s="48">
        <v>32000</v>
      </c>
      <c r="D34" s="47" t="s">
        <v>413</v>
      </c>
      <c r="E34" s="47" t="s">
        <v>403</v>
      </c>
      <c r="F34" s="47" t="s">
        <v>404</v>
      </c>
    </row>
    <row r="35" spans="1:6" x14ac:dyDescent="0.25">
      <c r="A35" s="46">
        <v>22</v>
      </c>
      <c r="B35" s="47" t="s">
        <v>420</v>
      </c>
      <c r="C35" s="48">
        <v>32000</v>
      </c>
      <c r="D35" s="47" t="s">
        <v>412</v>
      </c>
      <c r="E35" s="47" t="s">
        <v>406</v>
      </c>
      <c r="F35" s="47" t="s">
        <v>407</v>
      </c>
    </row>
    <row r="36" spans="1:6" x14ac:dyDescent="0.25">
      <c r="A36" s="46">
        <v>13</v>
      </c>
      <c r="B36" s="47" t="s">
        <v>420</v>
      </c>
      <c r="C36" s="48">
        <v>32000</v>
      </c>
      <c r="D36" s="47" t="s">
        <v>410</v>
      </c>
      <c r="E36" s="47" t="s">
        <v>403</v>
      </c>
      <c r="F36" s="47" t="s">
        <v>404</v>
      </c>
    </row>
    <row r="37" spans="1:6" x14ac:dyDescent="0.25">
      <c r="A37" s="46">
        <v>41</v>
      </c>
      <c r="B37" s="47" t="s">
        <v>420</v>
      </c>
      <c r="C37" s="48">
        <v>32000</v>
      </c>
      <c r="D37" s="47" t="s">
        <v>416</v>
      </c>
      <c r="E37" s="47" t="s">
        <v>403</v>
      </c>
      <c r="F37" s="47" t="s">
        <v>404</v>
      </c>
    </row>
    <row r="38" spans="1:6" x14ac:dyDescent="0.25">
      <c r="A38" s="46">
        <v>16</v>
      </c>
      <c r="B38" s="47" t="s">
        <v>418</v>
      </c>
      <c r="C38" s="48">
        <v>22000</v>
      </c>
      <c r="D38" s="47" t="s">
        <v>411</v>
      </c>
      <c r="E38" s="47" t="s">
        <v>406</v>
      </c>
      <c r="F38" s="47" t="s">
        <v>407</v>
      </c>
    </row>
    <row r="39" spans="1:6" x14ac:dyDescent="0.25">
      <c r="A39" s="46">
        <v>34</v>
      </c>
      <c r="B39" s="47" t="s">
        <v>418</v>
      </c>
      <c r="C39" s="48">
        <v>22000</v>
      </c>
      <c r="D39" s="47" t="s">
        <v>415</v>
      </c>
      <c r="E39" s="47" t="s">
        <v>408</v>
      </c>
      <c r="F39" s="47" t="s">
        <v>409</v>
      </c>
    </row>
    <row r="40" spans="1:6" x14ac:dyDescent="0.25">
      <c r="A40" s="46">
        <v>44</v>
      </c>
      <c r="B40" s="47" t="s">
        <v>418</v>
      </c>
      <c r="C40" s="48">
        <v>22000</v>
      </c>
      <c r="D40" s="47" t="s">
        <v>417</v>
      </c>
      <c r="E40" s="47" t="s">
        <v>406</v>
      </c>
      <c r="F40" s="47" t="s">
        <v>407</v>
      </c>
    </row>
    <row r="41" spans="1:6" x14ac:dyDescent="0.25">
      <c r="A41" s="46">
        <v>30</v>
      </c>
      <c r="B41" s="47" t="s">
        <v>418</v>
      </c>
      <c r="C41" s="48">
        <v>22000</v>
      </c>
      <c r="D41" s="47" t="s">
        <v>414</v>
      </c>
      <c r="E41" s="47" t="s">
        <v>406</v>
      </c>
      <c r="F41" s="47" t="s">
        <v>407</v>
      </c>
    </row>
    <row r="42" spans="1:6" x14ac:dyDescent="0.25">
      <c r="A42" s="46">
        <v>6</v>
      </c>
      <c r="B42" s="47" t="s">
        <v>418</v>
      </c>
      <c r="C42" s="48">
        <v>22000</v>
      </c>
      <c r="D42" s="47" t="s">
        <v>405</v>
      </c>
      <c r="E42" s="47" t="s">
        <v>408</v>
      </c>
      <c r="F42" s="47" t="s">
        <v>409</v>
      </c>
    </row>
    <row r="43" spans="1:6" x14ac:dyDescent="0.25">
      <c r="A43" s="46">
        <v>2</v>
      </c>
      <c r="B43" s="47" t="s">
        <v>418</v>
      </c>
      <c r="C43" s="48">
        <v>22000</v>
      </c>
      <c r="D43" s="47" t="s">
        <v>419</v>
      </c>
      <c r="E43" s="47" t="s">
        <v>406</v>
      </c>
      <c r="F43" s="47" t="s">
        <v>407</v>
      </c>
    </row>
    <row r="44" spans="1:6" x14ac:dyDescent="0.25">
      <c r="A44" s="46">
        <v>25</v>
      </c>
      <c r="B44" s="47" t="s">
        <v>418</v>
      </c>
      <c r="C44" s="48">
        <v>22000</v>
      </c>
      <c r="D44" s="47" t="s">
        <v>413</v>
      </c>
      <c r="E44" s="47" t="s">
        <v>406</v>
      </c>
      <c r="F44" s="47" t="s">
        <v>407</v>
      </c>
    </row>
    <row r="45" spans="1:6" x14ac:dyDescent="0.25">
      <c r="A45" s="46">
        <v>20</v>
      </c>
      <c r="B45" s="47" t="s">
        <v>418</v>
      </c>
      <c r="C45" s="48">
        <v>22000</v>
      </c>
      <c r="D45" s="47" t="s">
        <v>412</v>
      </c>
      <c r="E45" s="47" t="s">
        <v>408</v>
      </c>
      <c r="F45" s="47" t="s">
        <v>409</v>
      </c>
    </row>
    <row r="46" spans="1:6" x14ac:dyDescent="0.25">
      <c r="A46" s="46">
        <v>11</v>
      </c>
      <c r="B46" s="47" t="s">
        <v>418</v>
      </c>
      <c r="C46" s="48">
        <v>22000</v>
      </c>
      <c r="D46" s="47" t="s">
        <v>410</v>
      </c>
      <c r="E46" s="47" t="s">
        <v>406</v>
      </c>
      <c r="F46" s="47" t="s">
        <v>407</v>
      </c>
    </row>
    <row r="47" spans="1:6" x14ac:dyDescent="0.25">
      <c r="A47" s="46">
        <v>39</v>
      </c>
      <c r="B47" s="47" t="s">
        <v>418</v>
      </c>
      <c r="C47" s="48">
        <v>22000</v>
      </c>
      <c r="D47" s="47" t="s">
        <v>416</v>
      </c>
      <c r="E47" s="47" t="s">
        <v>406</v>
      </c>
      <c r="F47" s="47" t="s">
        <v>407</v>
      </c>
    </row>
    <row r="48" spans="1:6" x14ac:dyDescent="0.25">
      <c r="A48" s="46"/>
      <c r="C48" s="48"/>
    </row>
    <row r="49" spans="3:3" x14ac:dyDescent="0.25">
      <c r="C49" s="48"/>
    </row>
    <row r="50" spans="3:3" x14ac:dyDescent="0.25">
      <c r="C50" s="48"/>
    </row>
    <row r="51" spans="3:3" x14ac:dyDescent="0.25">
      <c r="C51" s="48"/>
    </row>
    <row r="52" spans="3:3" x14ac:dyDescent="0.25">
      <c r="C52" s="48"/>
    </row>
    <row r="53" spans="3:3" x14ac:dyDescent="0.25">
      <c r="C53" s="48"/>
    </row>
  </sheetData>
  <autoFilter ref="A1:F47" xr:uid="{6F5C5555-2D7F-4F55-9015-77B8D675C870}"/>
  <sortState xmlns:xlrd2="http://schemas.microsoft.com/office/spreadsheetml/2017/richdata2" ref="A2:F47">
    <sortCondition ref="B2:B47" customList="Europa,Budget,Elegant,Ekonomi"/>
  </sortState>
  <phoneticPr fontId="18" type="noConversion"/>
  <printOptions gridLines="1" gridLinesSet="0"/>
  <pageMargins left="0.75" right="0.75" top="1" bottom="1" header="0" footer="0"/>
  <pageSetup paperSize="9"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11"/>
  <dimension ref="A1:J58"/>
  <sheetViews>
    <sheetView workbookViewId="0">
      <selection activeCell="H5" sqref="H5"/>
    </sheetView>
  </sheetViews>
  <sheetFormatPr defaultRowHeight="18" x14ac:dyDescent="0.25"/>
  <cols>
    <col min="1" max="2" width="11.85546875" style="47" bestFit="1" customWidth="1"/>
    <col min="3" max="3" width="10.7109375" style="47" bestFit="1" customWidth="1"/>
    <col min="4" max="4" width="15" style="47" bestFit="1" customWidth="1"/>
    <col min="5" max="5" width="10.42578125" style="47" bestFit="1" customWidth="1"/>
    <col min="6" max="6" width="10.7109375" style="47" bestFit="1" customWidth="1"/>
    <col min="8" max="8" width="10.42578125" bestFit="1" customWidth="1"/>
    <col min="9" max="9" width="10.28515625" bestFit="1" customWidth="1"/>
    <col min="10" max="10" width="10.7109375" bestFit="1" customWidth="1"/>
  </cols>
  <sheetData>
    <row r="1" spans="1:10" x14ac:dyDescent="0.25">
      <c r="A1" s="42" t="s">
        <v>396</v>
      </c>
      <c r="B1" s="43" t="s">
        <v>397</v>
      </c>
      <c r="C1" s="44" t="s">
        <v>398</v>
      </c>
      <c r="D1" s="45" t="s">
        <v>399</v>
      </c>
      <c r="E1" s="45" t="s">
        <v>400</v>
      </c>
      <c r="F1" s="43" t="s">
        <v>401</v>
      </c>
    </row>
    <row r="2" spans="1:10" x14ac:dyDescent="0.25">
      <c r="B2" s="47" t="s">
        <v>402</v>
      </c>
      <c r="E2" s="47" t="s">
        <v>406</v>
      </c>
    </row>
    <row r="3" spans="1:10" x14ac:dyDescent="0.25">
      <c r="B3" s="47" t="s">
        <v>418</v>
      </c>
      <c r="E3" s="47" t="s">
        <v>408</v>
      </c>
    </row>
    <row r="5" spans="1:10" x14ac:dyDescent="0.25">
      <c r="H5" s="45" t="s">
        <v>400</v>
      </c>
      <c r="I5" s="45" t="s">
        <v>399</v>
      </c>
      <c r="J5" s="44" t="s">
        <v>398</v>
      </c>
    </row>
    <row r="6" spans="1:10" s="21" customFormat="1" x14ac:dyDescent="0.25">
      <c r="A6" s="42" t="s">
        <v>396</v>
      </c>
      <c r="B6" s="43" t="s">
        <v>397</v>
      </c>
      <c r="C6" s="44" t="s">
        <v>398</v>
      </c>
      <c r="D6" s="45" t="s">
        <v>399</v>
      </c>
      <c r="E6" s="45" t="s">
        <v>400</v>
      </c>
      <c r="F6" s="43" t="s">
        <v>401</v>
      </c>
      <c r="H6" s="47" t="s">
        <v>403</v>
      </c>
      <c r="I6" s="47" t="s">
        <v>432</v>
      </c>
      <c r="J6" s="48">
        <v>30000</v>
      </c>
    </row>
    <row r="7" spans="1:10" x14ac:dyDescent="0.25">
      <c r="A7" s="46">
        <v>1</v>
      </c>
      <c r="B7" s="47" t="s">
        <v>402</v>
      </c>
      <c r="C7" s="48">
        <v>30000</v>
      </c>
      <c r="D7" s="47" t="s">
        <v>432</v>
      </c>
      <c r="E7" s="47" t="s">
        <v>403</v>
      </c>
      <c r="F7" s="47" t="s">
        <v>404</v>
      </c>
      <c r="H7" s="47" t="s">
        <v>406</v>
      </c>
      <c r="I7" s="47" t="s">
        <v>419</v>
      </c>
      <c r="J7" s="48">
        <v>22000</v>
      </c>
    </row>
    <row r="8" spans="1:10" x14ac:dyDescent="0.25">
      <c r="A8" s="46">
        <v>2</v>
      </c>
      <c r="B8" s="47" t="s">
        <v>418</v>
      </c>
      <c r="C8" s="48">
        <v>22000</v>
      </c>
      <c r="D8" s="47" t="s">
        <v>419</v>
      </c>
      <c r="E8" s="47" t="s">
        <v>406</v>
      </c>
      <c r="F8" s="47" t="s">
        <v>407</v>
      </c>
      <c r="H8" s="47" t="s">
        <v>408</v>
      </c>
      <c r="I8" s="47" t="s">
        <v>419</v>
      </c>
      <c r="J8" s="48">
        <v>24500</v>
      </c>
    </row>
    <row r="9" spans="1:10" x14ac:dyDescent="0.25">
      <c r="A9" s="46">
        <v>3</v>
      </c>
      <c r="B9" s="47" t="s">
        <v>422</v>
      </c>
      <c r="C9" s="48">
        <v>24500</v>
      </c>
      <c r="D9" s="47" t="s">
        <v>419</v>
      </c>
      <c r="E9" s="47" t="s">
        <v>408</v>
      </c>
      <c r="F9" s="47" t="s">
        <v>409</v>
      </c>
      <c r="H9" s="47" t="s">
        <v>421</v>
      </c>
      <c r="I9" s="47" t="s">
        <v>419</v>
      </c>
      <c r="J9" s="48">
        <v>32000</v>
      </c>
    </row>
    <row r="10" spans="1:10" x14ac:dyDescent="0.25">
      <c r="A10" s="46">
        <v>4</v>
      </c>
      <c r="B10" s="47" t="s">
        <v>420</v>
      </c>
      <c r="C10" s="48">
        <v>32000</v>
      </c>
      <c r="D10" s="47" t="s">
        <v>419</v>
      </c>
      <c r="E10" s="47" t="s">
        <v>421</v>
      </c>
      <c r="F10" s="47" t="s">
        <v>409</v>
      </c>
      <c r="H10" s="47" t="s">
        <v>406</v>
      </c>
      <c r="I10" s="47" t="s">
        <v>405</v>
      </c>
      <c r="J10" s="48">
        <v>15000</v>
      </c>
    </row>
    <row r="11" spans="1:10" x14ac:dyDescent="0.25">
      <c r="A11" s="46">
        <v>5</v>
      </c>
      <c r="B11" s="47" t="s">
        <v>402</v>
      </c>
      <c r="C11" s="48">
        <v>15000</v>
      </c>
      <c r="D11" s="47" t="s">
        <v>405</v>
      </c>
      <c r="E11" s="47" t="s">
        <v>406</v>
      </c>
      <c r="F11" s="47" t="s">
        <v>407</v>
      </c>
      <c r="H11" s="47" t="s">
        <v>408</v>
      </c>
      <c r="I11" s="47" t="s">
        <v>405</v>
      </c>
      <c r="J11" s="48">
        <v>22000</v>
      </c>
    </row>
    <row r="12" spans="1:10" x14ac:dyDescent="0.25">
      <c r="A12" s="46">
        <v>6</v>
      </c>
      <c r="B12" s="47" t="s">
        <v>418</v>
      </c>
      <c r="C12" s="48">
        <v>22000</v>
      </c>
      <c r="D12" s="47" t="s">
        <v>405</v>
      </c>
      <c r="E12" s="47" t="s">
        <v>408</v>
      </c>
      <c r="F12" s="47" t="s">
        <v>409</v>
      </c>
      <c r="H12" s="47" t="s">
        <v>421</v>
      </c>
      <c r="I12" s="47" t="s">
        <v>405</v>
      </c>
      <c r="J12" s="48">
        <v>24500</v>
      </c>
    </row>
    <row r="13" spans="1:10" x14ac:dyDescent="0.25">
      <c r="A13" s="46">
        <v>7</v>
      </c>
      <c r="B13" s="47" t="s">
        <v>422</v>
      </c>
      <c r="C13" s="48">
        <v>24500</v>
      </c>
      <c r="D13" s="47" t="s">
        <v>405</v>
      </c>
      <c r="E13" s="47" t="s">
        <v>421</v>
      </c>
      <c r="F13" s="47" t="s">
        <v>409</v>
      </c>
      <c r="H13" s="47" t="s">
        <v>406</v>
      </c>
      <c r="I13" s="47" t="s">
        <v>405</v>
      </c>
      <c r="J13" s="48">
        <v>32000</v>
      </c>
    </row>
    <row r="14" spans="1:10" x14ac:dyDescent="0.25">
      <c r="A14" s="46">
        <v>8</v>
      </c>
      <c r="B14" s="47" t="s">
        <v>420</v>
      </c>
      <c r="C14" s="48">
        <v>32000</v>
      </c>
      <c r="D14" s="47" t="s">
        <v>405</v>
      </c>
      <c r="E14" s="47" t="s">
        <v>406</v>
      </c>
      <c r="F14" s="47" t="s">
        <v>407</v>
      </c>
      <c r="H14" s="47" t="s">
        <v>408</v>
      </c>
      <c r="I14" s="47" t="s">
        <v>405</v>
      </c>
      <c r="J14" s="48">
        <v>15000</v>
      </c>
    </row>
    <row r="15" spans="1:10" x14ac:dyDescent="0.25">
      <c r="A15" s="46">
        <v>9</v>
      </c>
      <c r="B15" s="47" t="s">
        <v>402</v>
      </c>
      <c r="C15" s="48">
        <v>15000</v>
      </c>
      <c r="D15" s="47" t="s">
        <v>405</v>
      </c>
      <c r="E15" s="47" t="s">
        <v>408</v>
      </c>
      <c r="F15" s="47" t="s">
        <v>409</v>
      </c>
      <c r="H15" s="47" t="s">
        <v>403</v>
      </c>
      <c r="I15" s="47" t="s">
        <v>410</v>
      </c>
      <c r="J15" s="48">
        <v>15000</v>
      </c>
    </row>
    <row r="16" spans="1:10" x14ac:dyDescent="0.25">
      <c r="A16" s="46">
        <v>10</v>
      </c>
      <c r="B16" s="47" t="s">
        <v>402</v>
      </c>
      <c r="C16" s="48">
        <v>15000</v>
      </c>
      <c r="D16" s="47" t="s">
        <v>410</v>
      </c>
      <c r="E16" s="47" t="s">
        <v>403</v>
      </c>
      <c r="F16" s="47" t="s">
        <v>404</v>
      </c>
      <c r="H16" s="47" t="s">
        <v>406</v>
      </c>
      <c r="I16" s="47" t="s">
        <v>410</v>
      </c>
      <c r="J16" s="48">
        <v>22000</v>
      </c>
    </row>
    <row r="17" spans="1:10" x14ac:dyDescent="0.25">
      <c r="A17" s="46">
        <v>11</v>
      </c>
      <c r="B17" s="47" t="s">
        <v>418</v>
      </c>
      <c r="C17" s="48">
        <v>22000</v>
      </c>
      <c r="D17" s="47" t="s">
        <v>410</v>
      </c>
      <c r="E17" s="47" t="s">
        <v>406</v>
      </c>
      <c r="F17" s="47" t="s">
        <v>407</v>
      </c>
      <c r="H17" s="47" t="s">
        <v>403</v>
      </c>
      <c r="I17" s="47" t="s">
        <v>410</v>
      </c>
      <c r="J17" s="48">
        <v>24500</v>
      </c>
    </row>
    <row r="18" spans="1:10" x14ac:dyDescent="0.25">
      <c r="A18" s="46">
        <v>12</v>
      </c>
      <c r="B18" s="47" t="s">
        <v>422</v>
      </c>
      <c r="C18" s="48">
        <v>24500</v>
      </c>
      <c r="D18" s="47" t="s">
        <v>410</v>
      </c>
      <c r="E18" s="47" t="s">
        <v>403</v>
      </c>
      <c r="F18" s="47" t="s">
        <v>404</v>
      </c>
      <c r="H18" s="47" t="s">
        <v>403</v>
      </c>
      <c r="I18" s="47" t="s">
        <v>410</v>
      </c>
      <c r="J18" s="48">
        <v>32000</v>
      </c>
    </row>
    <row r="19" spans="1:10" x14ac:dyDescent="0.25">
      <c r="A19" s="46">
        <v>13</v>
      </c>
      <c r="B19" s="47" t="s">
        <v>420</v>
      </c>
      <c r="C19" s="48">
        <v>32000</v>
      </c>
      <c r="D19" s="47" t="s">
        <v>410</v>
      </c>
      <c r="E19" s="47" t="s">
        <v>403</v>
      </c>
      <c r="F19" s="47" t="s">
        <v>404</v>
      </c>
      <c r="H19" s="47" t="s">
        <v>406</v>
      </c>
      <c r="I19" s="47" t="s">
        <v>410</v>
      </c>
      <c r="J19" s="48">
        <v>15000</v>
      </c>
    </row>
    <row r="20" spans="1:10" x14ac:dyDescent="0.25">
      <c r="A20" s="46">
        <v>14</v>
      </c>
      <c r="B20" s="47" t="s">
        <v>402</v>
      </c>
      <c r="C20" s="48">
        <v>15000</v>
      </c>
      <c r="D20" s="47" t="s">
        <v>410</v>
      </c>
      <c r="E20" s="47" t="s">
        <v>406</v>
      </c>
      <c r="F20" s="47" t="s">
        <v>407</v>
      </c>
      <c r="H20" s="47" t="s">
        <v>403</v>
      </c>
      <c r="I20" s="47" t="s">
        <v>411</v>
      </c>
      <c r="J20" s="48">
        <v>15000</v>
      </c>
    </row>
    <row r="21" spans="1:10" x14ac:dyDescent="0.25">
      <c r="A21" s="46">
        <v>15</v>
      </c>
      <c r="B21" s="47" t="s">
        <v>402</v>
      </c>
      <c r="C21" s="48">
        <v>15000</v>
      </c>
      <c r="D21" s="47" t="s">
        <v>411</v>
      </c>
      <c r="E21" s="47" t="s">
        <v>403</v>
      </c>
      <c r="F21" s="47" t="s">
        <v>404</v>
      </c>
      <c r="H21" s="47" t="s">
        <v>406</v>
      </c>
      <c r="I21" s="47" t="s">
        <v>411</v>
      </c>
      <c r="J21" s="48">
        <v>22000</v>
      </c>
    </row>
    <row r="22" spans="1:10" x14ac:dyDescent="0.25">
      <c r="A22" s="46">
        <v>16</v>
      </c>
      <c r="B22" s="47" t="s">
        <v>418</v>
      </c>
      <c r="C22" s="48">
        <v>22000</v>
      </c>
      <c r="D22" s="47" t="s">
        <v>411</v>
      </c>
      <c r="E22" s="47" t="s">
        <v>406</v>
      </c>
      <c r="F22" s="47" t="s">
        <v>407</v>
      </c>
      <c r="H22" s="47" t="s">
        <v>408</v>
      </c>
      <c r="I22" s="47" t="s">
        <v>411</v>
      </c>
      <c r="J22" s="48">
        <v>24500</v>
      </c>
    </row>
    <row r="23" spans="1:10" x14ac:dyDescent="0.25">
      <c r="A23" s="46">
        <v>17</v>
      </c>
      <c r="B23" s="47" t="s">
        <v>422</v>
      </c>
      <c r="C23" s="48">
        <v>24500</v>
      </c>
      <c r="D23" s="47" t="s">
        <v>411</v>
      </c>
      <c r="E23" s="47" t="s">
        <v>408</v>
      </c>
      <c r="F23" s="47" t="s">
        <v>409</v>
      </c>
      <c r="H23" s="47" t="s">
        <v>421</v>
      </c>
      <c r="I23" s="47" t="s">
        <v>411</v>
      </c>
      <c r="J23" s="48">
        <v>32000</v>
      </c>
    </row>
    <row r="24" spans="1:10" x14ac:dyDescent="0.25">
      <c r="A24" s="46">
        <v>18</v>
      </c>
      <c r="B24" s="47" t="s">
        <v>420</v>
      </c>
      <c r="C24" s="48">
        <v>32000</v>
      </c>
      <c r="D24" s="47" t="s">
        <v>411</v>
      </c>
      <c r="E24" s="47" t="s">
        <v>421</v>
      </c>
      <c r="F24" s="47" t="s">
        <v>409</v>
      </c>
      <c r="H24" s="47" t="s">
        <v>406</v>
      </c>
      <c r="I24" s="47" t="s">
        <v>412</v>
      </c>
      <c r="J24" s="48">
        <v>15000</v>
      </c>
    </row>
    <row r="25" spans="1:10" x14ac:dyDescent="0.25">
      <c r="A25" s="46">
        <v>19</v>
      </c>
      <c r="B25" s="47" t="s">
        <v>402</v>
      </c>
      <c r="C25" s="48">
        <v>15000</v>
      </c>
      <c r="D25" s="47" t="s">
        <v>412</v>
      </c>
      <c r="E25" s="47" t="s">
        <v>406</v>
      </c>
      <c r="F25" s="47" t="s">
        <v>407</v>
      </c>
      <c r="H25" s="47" t="s">
        <v>408</v>
      </c>
      <c r="I25" s="47" t="s">
        <v>412</v>
      </c>
      <c r="J25" s="48">
        <v>22000</v>
      </c>
    </row>
    <row r="26" spans="1:10" x14ac:dyDescent="0.25">
      <c r="A26" s="46">
        <v>20</v>
      </c>
      <c r="B26" s="47" t="s">
        <v>418</v>
      </c>
      <c r="C26" s="48">
        <v>22000</v>
      </c>
      <c r="D26" s="47" t="s">
        <v>412</v>
      </c>
      <c r="E26" s="47" t="s">
        <v>408</v>
      </c>
      <c r="F26" s="47" t="s">
        <v>409</v>
      </c>
      <c r="H26" s="47" t="s">
        <v>421</v>
      </c>
      <c r="I26" s="47" t="s">
        <v>412</v>
      </c>
      <c r="J26" s="48">
        <v>24500</v>
      </c>
    </row>
    <row r="27" spans="1:10" x14ac:dyDescent="0.25">
      <c r="A27" s="46">
        <v>21</v>
      </c>
      <c r="B27" s="47" t="s">
        <v>422</v>
      </c>
      <c r="C27" s="48">
        <v>24500</v>
      </c>
      <c r="D27" s="47" t="s">
        <v>412</v>
      </c>
      <c r="E27" s="47" t="s">
        <v>421</v>
      </c>
      <c r="F27" s="47" t="s">
        <v>409</v>
      </c>
      <c r="H27" s="47" t="s">
        <v>406</v>
      </c>
      <c r="I27" s="47" t="s">
        <v>412</v>
      </c>
      <c r="J27" s="48">
        <v>32000</v>
      </c>
    </row>
    <row r="28" spans="1:10" x14ac:dyDescent="0.25">
      <c r="A28" s="46">
        <v>22</v>
      </c>
      <c r="B28" s="47" t="s">
        <v>420</v>
      </c>
      <c r="C28" s="48">
        <v>32000</v>
      </c>
      <c r="D28" s="47" t="s">
        <v>412</v>
      </c>
      <c r="E28" s="47" t="s">
        <v>406</v>
      </c>
      <c r="F28" s="47" t="s">
        <v>407</v>
      </c>
      <c r="H28" s="47" t="s">
        <v>408</v>
      </c>
      <c r="I28" s="47" t="s">
        <v>412</v>
      </c>
      <c r="J28" s="48">
        <v>15000</v>
      </c>
    </row>
    <row r="29" spans="1:10" x14ac:dyDescent="0.25">
      <c r="A29" s="46">
        <v>23</v>
      </c>
      <c r="B29" s="47" t="s">
        <v>402</v>
      </c>
      <c r="C29" s="48">
        <v>15000</v>
      </c>
      <c r="D29" s="47" t="s">
        <v>412</v>
      </c>
      <c r="E29" s="47" t="s">
        <v>408</v>
      </c>
      <c r="F29" s="47" t="s">
        <v>409</v>
      </c>
      <c r="H29" s="47" t="s">
        <v>403</v>
      </c>
      <c r="I29" s="47" t="s">
        <v>413</v>
      </c>
      <c r="J29" s="48">
        <v>15000</v>
      </c>
    </row>
    <row r="30" spans="1:10" x14ac:dyDescent="0.25">
      <c r="A30" s="46">
        <v>24</v>
      </c>
      <c r="B30" s="47" t="s">
        <v>402</v>
      </c>
      <c r="C30" s="48">
        <v>15000</v>
      </c>
      <c r="D30" s="47" t="s">
        <v>413</v>
      </c>
      <c r="E30" s="47" t="s">
        <v>403</v>
      </c>
      <c r="F30" s="47" t="s">
        <v>404</v>
      </c>
      <c r="H30" s="47" t="s">
        <v>406</v>
      </c>
      <c r="I30" s="47" t="s">
        <v>413</v>
      </c>
      <c r="J30" s="48">
        <v>22000</v>
      </c>
    </row>
    <row r="31" spans="1:10" x14ac:dyDescent="0.25">
      <c r="A31" s="46">
        <v>25</v>
      </c>
      <c r="B31" s="47" t="s">
        <v>418</v>
      </c>
      <c r="C31" s="48">
        <v>22000</v>
      </c>
      <c r="D31" s="47" t="s">
        <v>413</v>
      </c>
      <c r="E31" s="47" t="s">
        <v>406</v>
      </c>
      <c r="F31" s="47" t="s">
        <v>407</v>
      </c>
      <c r="H31" s="47" t="s">
        <v>403</v>
      </c>
      <c r="I31" s="47" t="s">
        <v>413</v>
      </c>
      <c r="J31" s="48">
        <v>24500</v>
      </c>
    </row>
    <row r="32" spans="1:10" x14ac:dyDescent="0.25">
      <c r="A32" s="46">
        <v>26</v>
      </c>
      <c r="B32" s="47" t="s">
        <v>422</v>
      </c>
      <c r="C32" s="48">
        <v>24500</v>
      </c>
      <c r="D32" s="47" t="s">
        <v>413</v>
      </c>
      <c r="E32" s="47" t="s">
        <v>403</v>
      </c>
      <c r="F32" s="47" t="s">
        <v>404</v>
      </c>
      <c r="H32" s="47" t="s">
        <v>403</v>
      </c>
      <c r="I32" s="47" t="s">
        <v>413</v>
      </c>
      <c r="J32" s="48">
        <v>32000</v>
      </c>
    </row>
    <row r="33" spans="1:10" x14ac:dyDescent="0.25">
      <c r="A33" s="46">
        <v>27</v>
      </c>
      <c r="B33" s="47" t="s">
        <v>420</v>
      </c>
      <c r="C33" s="48">
        <v>32000</v>
      </c>
      <c r="D33" s="47" t="s">
        <v>413</v>
      </c>
      <c r="E33" s="47" t="s">
        <v>403</v>
      </c>
      <c r="F33" s="47" t="s">
        <v>404</v>
      </c>
      <c r="H33" s="47" t="s">
        <v>406</v>
      </c>
      <c r="I33" s="47" t="s">
        <v>413</v>
      </c>
      <c r="J33" s="48">
        <v>15000</v>
      </c>
    </row>
    <row r="34" spans="1:10" x14ac:dyDescent="0.25">
      <c r="A34" s="46">
        <v>28</v>
      </c>
      <c r="B34" s="47" t="s">
        <v>402</v>
      </c>
      <c r="C34" s="48">
        <v>15000</v>
      </c>
      <c r="D34" s="47" t="s">
        <v>413</v>
      </c>
      <c r="E34" s="47" t="s">
        <v>406</v>
      </c>
      <c r="F34" s="47" t="s">
        <v>407</v>
      </c>
      <c r="H34" s="47" t="s">
        <v>403</v>
      </c>
      <c r="I34" s="47" t="s">
        <v>414</v>
      </c>
      <c r="J34" s="48">
        <v>15000</v>
      </c>
    </row>
    <row r="35" spans="1:10" x14ac:dyDescent="0.25">
      <c r="A35" s="46">
        <v>29</v>
      </c>
      <c r="B35" s="47" t="s">
        <v>402</v>
      </c>
      <c r="C35" s="48">
        <v>15000</v>
      </c>
      <c r="D35" s="47" t="s">
        <v>414</v>
      </c>
      <c r="E35" s="47" t="s">
        <v>403</v>
      </c>
      <c r="F35" s="47" t="s">
        <v>404</v>
      </c>
      <c r="H35" s="47" t="s">
        <v>406</v>
      </c>
      <c r="I35" s="47" t="s">
        <v>414</v>
      </c>
      <c r="J35" s="48">
        <v>22000</v>
      </c>
    </row>
    <row r="36" spans="1:10" x14ac:dyDescent="0.25">
      <c r="A36" s="46">
        <v>30</v>
      </c>
      <c r="B36" s="47" t="s">
        <v>418</v>
      </c>
      <c r="C36" s="48">
        <v>22000</v>
      </c>
      <c r="D36" s="47" t="s">
        <v>414</v>
      </c>
      <c r="E36" s="47" t="s">
        <v>406</v>
      </c>
      <c r="F36" s="47" t="s">
        <v>407</v>
      </c>
      <c r="H36" s="47" t="s">
        <v>408</v>
      </c>
      <c r="I36" s="47" t="s">
        <v>414</v>
      </c>
      <c r="J36" s="48">
        <v>24500</v>
      </c>
    </row>
    <row r="37" spans="1:10" x14ac:dyDescent="0.25">
      <c r="A37" s="46">
        <v>31</v>
      </c>
      <c r="B37" s="47" t="s">
        <v>422</v>
      </c>
      <c r="C37" s="48">
        <v>24500</v>
      </c>
      <c r="D37" s="47" t="s">
        <v>414</v>
      </c>
      <c r="E37" s="47" t="s">
        <v>408</v>
      </c>
      <c r="F37" s="47" t="s">
        <v>409</v>
      </c>
      <c r="H37" s="47" t="s">
        <v>421</v>
      </c>
      <c r="I37" s="47" t="s">
        <v>414</v>
      </c>
      <c r="J37" s="48">
        <v>32000</v>
      </c>
    </row>
    <row r="38" spans="1:10" x14ac:dyDescent="0.25">
      <c r="A38" s="46">
        <v>32</v>
      </c>
      <c r="B38" s="47" t="s">
        <v>420</v>
      </c>
      <c r="C38" s="48">
        <v>32000</v>
      </c>
      <c r="D38" s="47" t="s">
        <v>414</v>
      </c>
      <c r="E38" s="47" t="s">
        <v>421</v>
      </c>
      <c r="F38" s="47" t="s">
        <v>409</v>
      </c>
      <c r="H38" s="47" t="s">
        <v>406</v>
      </c>
      <c r="I38" s="47" t="s">
        <v>415</v>
      </c>
      <c r="J38" s="48">
        <v>15000</v>
      </c>
    </row>
    <row r="39" spans="1:10" x14ac:dyDescent="0.25">
      <c r="A39" s="46">
        <v>33</v>
      </c>
      <c r="B39" s="47" t="s">
        <v>402</v>
      </c>
      <c r="C39" s="48">
        <v>15000</v>
      </c>
      <c r="D39" s="47" t="s">
        <v>415</v>
      </c>
      <c r="E39" s="47" t="s">
        <v>406</v>
      </c>
      <c r="F39" s="47" t="s">
        <v>407</v>
      </c>
      <c r="H39" s="47" t="s">
        <v>408</v>
      </c>
      <c r="I39" s="47" t="s">
        <v>415</v>
      </c>
      <c r="J39" s="48">
        <v>22000</v>
      </c>
    </row>
    <row r="40" spans="1:10" x14ac:dyDescent="0.25">
      <c r="A40" s="46">
        <v>34</v>
      </c>
      <c r="B40" s="47" t="s">
        <v>418</v>
      </c>
      <c r="C40" s="48">
        <v>22000</v>
      </c>
      <c r="D40" s="47" t="s">
        <v>415</v>
      </c>
      <c r="E40" s="47" t="s">
        <v>408</v>
      </c>
      <c r="F40" s="47" t="s">
        <v>409</v>
      </c>
      <c r="H40" s="47" t="s">
        <v>421</v>
      </c>
      <c r="I40" s="47" t="s">
        <v>415</v>
      </c>
      <c r="J40" s="48">
        <v>24500</v>
      </c>
    </row>
    <row r="41" spans="1:10" x14ac:dyDescent="0.25">
      <c r="A41" s="46">
        <v>35</v>
      </c>
      <c r="B41" s="47" t="s">
        <v>422</v>
      </c>
      <c r="C41" s="48">
        <v>24500</v>
      </c>
      <c r="D41" s="47" t="s">
        <v>415</v>
      </c>
      <c r="E41" s="47" t="s">
        <v>421</v>
      </c>
      <c r="F41" s="47" t="s">
        <v>409</v>
      </c>
      <c r="H41" s="47" t="s">
        <v>406</v>
      </c>
      <c r="I41" s="47" t="s">
        <v>415</v>
      </c>
      <c r="J41" s="48">
        <v>32000</v>
      </c>
    </row>
    <row r="42" spans="1:10" x14ac:dyDescent="0.25">
      <c r="A42" s="46">
        <v>36</v>
      </c>
      <c r="B42" s="47" t="s">
        <v>420</v>
      </c>
      <c r="C42" s="48">
        <v>32000</v>
      </c>
      <c r="D42" s="47" t="s">
        <v>415</v>
      </c>
      <c r="E42" s="47" t="s">
        <v>406</v>
      </c>
      <c r="F42" s="47" t="s">
        <v>407</v>
      </c>
      <c r="H42" s="47" t="s">
        <v>408</v>
      </c>
      <c r="I42" s="47" t="s">
        <v>415</v>
      </c>
      <c r="J42" s="48">
        <v>15000</v>
      </c>
    </row>
    <row r="43" spans="1:10" x14ac:dyDescent="0.25">
      <c r="A43" s="46">
        <v>37</v>
      </c>
      <c r="B43" s="47" t="s">
        <v>402</v>
      </c>
      <c r="C43" s="48">
        <v>15000</v>
      </c>
      <c r="D43" s="47" t="s">
        <v>415</v>
      </c>
      <c r="E43" s="47" t="s">
        <v>408</v>
      </c>
      <c r="F43" s="47" t="s">
        <v>409</v>
      </c>
      <c r="H43" s="47" t="s">
        <v>403</v>
      </c>
      <c r="I43" s="47" t="s">
        <v>416</v>
      </c>
      <c r="J43" s="48">
        <v>15000</v>
      </c>
    </row>
    <row r="44" spans="1:10" x14ac:dyDescent="0.25">
      <c r="A44" s="46">
        <v>38</v>
      </c>
      <c r="B44" s="47" t="s">
        <v>402</v>
      </c>
      <c r="C44" s="48">
        <v>15000</v>
      </c>
      <c r="D44" s="47" t="s">
        <v>416</v>
      </c>
      <c r="E44" s="47" t="s">
        <v>403</v>
      </c>
      <c r="F44" s="47" t="s">
        <v>404</v>
      </c>
      <c r="H44" s="47" t="s">
        <v>406</v>
      </c>
      <c r="I44" s="47" t="s">
        <v>416</v>
      </c>
      <c r="J44" s="48">
        <v>22000</v>
      </c>
    </row>
    <row r="45" spans="1:10" x14ac:dyDescent="0.25">
      <c r="A45" s="46">
        <v>39</v>
      </c>
      <c r="B45" s="47" t="s">
        <v>418</v>
      </c>
      <c r="C45" s="48">
        <v>22000</v>
      </c>
      <c r="D45" s="47" t="s">
        <v>416</v>
      </c>
      <c r="E45" s="47" t="s">
        <v>406</v>
      </c>
      <c r="F45" s="47" t="s">
        <v>407</v>
      </c>
      <c r="H45" s="47" t="s">
        <v>403</v>
      </c>
      <c r="I45" s="47" t="s">
        <v>416</v>
      </c>
      <c r="J45" s="48">
        <v>24500</v>
      </c>
    </row>
    <row r="46" spans="1:10" x14ac:dyDescent="0.25">
      <c r="A46" s="46">
        <v>40</v>
      </c>
      <c r="B46" s="47" t="s">
        <v>422</v>
      </c>
      <c r="C46" s="48">
        <v>24500</v>
      </c>
      <c r="D46" s="47" t="s">
        <v>416</v>
      </c>
      <c r="E46" s="47" t="s">
        <v>403</v>
      </c>
      <c r="F46" s="47" t="s">
        <v>404</v>
      </c>
      <c r="H46" s="47" t="s">
        <v>403</v>
      </c>
      <c r="I46" s="47" t="s">
        <v>416</v>
      </c>
      <c r="J46" s="48">
        <v>32000</v>
      </c>
    </row>
    <row r="47" spans="1:10" x14ac:dyDescent="0.25">
      <c r="A47" s="46">
        <v>41</v>
      </c>
      <c r="B47" s="47" t="s">
        <v>420</v>
      </c>
      <c r="C47" s="48">
        <v>32000</v>
      </c>
      <c r="D47" s="47" t="s">
        <v>416</v>
      </c>
      <c r="E47" s="47" t="s">
        <v>403</v>
      </c>
      <c r="F47" s="47" t="s">
        <v>404</v>
      </c>
      <c r="H47" s="47" t="s">
        <v>406</v>
      </c>
      <c r="I47" s="47" t="s">
        <v>416</v>
      </c>
      <c r="J47" s="48">
        <v>15000</v>
      </c>
    </row>
    <row r="48" spans="1:10" x14ac:dyDescent="0.25">
      <c r="A48" s="46">
        <v>42</v>
      </c>
      <c r="B48" s="47" t="s">
        <v>402</v>
      </c>
      <c r="C48" s="48">
        <v>15000</v>
      </c>
      <c r="D48" s="47" t="s">
        <v>416</v>
      </c>
      <c r="E48" s="47" t="s">
        <v>406</v>
      </c>
      <c r="F48" s="47" t="s">
        <v>407</v>
      </c>
      <c r="H48" s="47" t="s">
        <v>403</v>
      </c>
      <c r="I48" s="47" t="s">
        <v>417</v>
      </c>
      <c r="J48" s="48">
        <v>15000</v>
      </c>
    </row>
    <row r="49" spans="1:10" x14ac:dyDescent="0.25">
      <c r="A49" s="46">
        <v>43</v>
      </c>
      <c r="B49" s="47" t="s">
        <v>402</v>
      </c>
      <c r="C49" s="48">
        <v>15000</v>
      </c>
      <c r="D49" s="47" t="s">
        <v>417</v>
      </c>
      <c r="E49" s="47" t="s">
        <v>403</v>
      </c>
      <c r="F49" s="47" t="s">
        <v>404</v>
      </c>
      <c r="H49" s="47" t="s">
        <v>406</v>
      </c>
      <c r="I49" s="47" t="s">
        <v>417</v>
      </c>
      <c r="J49" s="48">
        <v>22000</v>
      </c>
    </row>
    <row r="50" spans="1:10" x14ac:dyDescent="0.25">
      <c r="A50" s="46">
        <v>44</v>
      </c>
      <c r="B50" s="47" t="s">
        <v>418</v>
      </c>
      <c r="C50" s="48">
        <v>22000</v>
      </c>
      <c r="D50" s="47" t="s">
        <v>417</v>
      </c>
      <c r="E50" s="47" t="s">
        <v>406</v>
      </c>
      <c r="F50" s="47" t="s">
        <v>407</v>
      </c>
      <c r="H50" s="47" t="s">
        <v>408</v>
      </c>
      <c r="I50" s="47" t="s">
        <v>417</v>
      </c>
      <c r="J50" s="48">
        <v>24500</v>
      </c>
    </row>
    <row r="51" spans="1:10" x14ac:dyDescent="0.25">
      <c r="A51" s="46">
        <v>45</v>
      </c>
      <c r="B51" s="47" t="s">
        <v>422</v>
      </c>
      <c r="C51" s="48">
        <v>24500</v>
      </c>
      <c r="D51" s="47" t="s">
        <v>417</v>
      </c>
      <c r="E51" s="47" t="s">
        <v>408</v>
      </c>
      <c r="F51" s="47" t="s">
        <v>409</v>
      </c>
      <c r="H51" s="47" t="s">
        <v>421</v>
      </c>
      <c r="I51" s="47" t="s">
        <v>417</v>
      </c>
      <c r="J51" s="48">
        <v>32000</v>
      </c>
    </row>
    <row r="52" spans="1:10" x14ac:dyDescent="0.25">
      <c r="A52" s="46">
        <v>46</v>
      </c>
      <c r="B52" s="47" t="s">
        <v>420</v>
      </c>
      <c r="C52" s="48">
        <v>32000</v>
      </c>
      <c r="D52" s="47" t="s">
        <v>417</v>
      </c>
      <c r="E52" s="47" t="s">
        <v>421</v>
      </c>
      <c r="F52" s="47" t="s">
        <v>409</v>
      </c>
    </row>
    <row r="53" spans="1:10" x14ac:dyDescent="0.25">
      <c r="A53" s="46"/>
      <c r="C53" s="48"/>
    </row>
    <row r="54" spans="1:10" x14ac:dyDescent="0.25">
      <c r="C54" s="48"/>
    </row>
    <row r="55" spans="1:10" x14ac:dyDescent="0.25">
      <c r="C55" s="48"/>
    </row>
    <row r="56" spans="1:10" x14ac:dyDescent="0.25">
      <c r="C56" s="48"/>
    </row>
    <row r="57" spans="1:10" x14ac:dyDescent="0.25">
      <c r="C57" s="48"/>
    </row>
    <row r="58" spans="1:10" x14ac:dyDescent="0.25">
      <c r="C58" s="48"/>
    </row>
  </sheetData>
  <sortState xmlns:xlrd2="http://schemas.microsoft.com/office/spreadsheetml/2017/richdata2" ref="A7:F52">
    <sortCondition ref="A10:A52"/>
  </sortState>
  <phoneticPr fontId="0" type="noConversion"/>
  <printOptions gridLines="1" gridLinesSet="0"/>
  <pageMargins left="0.75" right="0.75" top="1" bottom="1" header="0" footer="0"/>
  <pageSetup paperSize="9"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
  <dimension ref="A1:H122"/>
  <sheetViews>
    <sheetView workbookViewId="0">
      <selection activeCell="F122" sqref="F122"/>
    </sheetView>
  </sheetViews>
  <sheetFormatPr defaultColWidth="9.140625" defaultRowHeight="15.75" outlineLevelRow="3" x14ac:dyDescent="0.25"/>
  <cols>
    <col min="1" max="1" width="9.85546875" style="51" bestFit="1" customWidth="1"/>
    <col min="2" max="2" width="15.7109375" style="51" bestFit="1" customWidth="1"/>
    <col min="3" max="3" width="13" style="51" bestFit="1" customWidth="1"/>
    <col min="4" max="4" width="15.85546875" style="51" bestFit="1" customWidth="1"/>
    <col min="5" max="5" width="16.28515625" style="51" bestFit="1" customWidth="1"/>
    <col min="6" max="6" width="24.7109375" style="51" bestFit="1" customWidth="1"/>
    <col min="7" max="7" width="22.28515625" style="51" bestFit="1" customWidth="1"/>
    <col min="8" max="8" width="13.42578125" style="51" bestFit="1" customWidth="1"/>
    <col min="9" max="9" width="13.85546875" style="50" bestFit="1" customWidth="1"/>
    <col min="10" max="10" width="11" style="50" bestFit="1" customWidth="1"/>
    <col min="11" max="16384" width="9.140625" style="50"/>
  </cols>
  <sheetData>
    <row r="1" spans="1:8" s="49" customFormat="1" ht="16.5" x14ac:dyDescent="0.3">
      <c r="A1" s="52" t="s">
        <v>447</v>
      </c>
      <c r="B1" s="52" t="s">
        <v>448</v>
      </c>
      <c r="C1" s="52" t="s">
        <v>449</v>
      </c>
      <c r="D1" s="52" t="s">
        <v>450</v>
      </c>
      <c r="E1" s="52" t="s">
        <v>451</v>
      </c>
      <c r="F1" s="52" t="s">
        <v>452</v>
      </c>
      <c r="G1" s="52" t="s">
        <v>453</v>
      </c>
      <c r="H1" s="52" t="s">
        <v>454</v>
      </c>
    </row>
    <row r="2" spans="1:8" hidden="1" outlineLevel="3" x14ac:dyDescent="0.25">
      <c r="A2" s="51">
        <v>124</v>
      </c>
      <c r="B2" s="51" t="s">
        <v>418</v>
      </c>
      <c r="C2" s="51" t="s">
        <v>546</v>
      </c>
      <c r="D2" s="51" t="s">
        <v>638</v>
      </c>
      <c r="E2" s="51">
        <v>541202</v>
      </c>
      <c r="F2" s="51" t="s">
        <v>639</v>
      </c>
      <c r="G2" s="51" t="s">
        <v>458</v>
      </c>
      <c r="H2" s="51">
        <v>23000</v>
      </c>
    </row>
    <row r="3" spans="1:8" hidden="1" outlineLevel="3" x14ac:dyDescent="0.25">
      <c r="A3" s="51">
        <v>127</v>
      </c>
      <c r="B3" s="51" t="s">
        <v>686</v>
      </c>
      <c r="C3" s="51" t="s">
        <v>687</v>
      </c>
      <c r="D3" s="51" t="s">
        <v>688</v>
      </c>
      <c r="E3" s="51">
        <v>710223</v>
      </c>
      <c r="F3" s="51" t="s">
        <v>689</v>
      </c>
      <c r="G3" s="51" t="s">
        <v>458</v>
      </c>
      <c r="H3" s="51">
        <v>17700</v>
      </c>
    </row>
    <row r="4" spans="1:8" hidden="1" outlineLevel="3" x14ac:dyDescent="0.25">
      <c r="A4" s="51">
        <v>128</v>
      </c>
      <c r="B4" s="51" t="s">
        <v>686</v>
      </c>
      <c r="C4" s="51" t="s">
        <v>690</v>
      </c>
      <c r="D4" s="51" t="s">
        <v>691</v>
      </c>
      <c r="E4" s="51">
        <v>800101</v>
      </c>
      <c r="F4" s="51" t="s">
        <v>692</v>
      </c>
      <c r="G4" s="51" t="s">
        <v>458</v>
      </c>
      <c r="H4" s="51">
        <v>17500</v>
      </c>
    </row>
    <row r="5" spans="1:8" hidden="1" outlineLevel="3" x14ac:dyDescent="0.25">
      <c r="A5" s="51">
        <v>129</v>
      </c>
      <c r="B5" s="51" t="s">
        <v>505</v>
      </c>
      <c r="C5" s="51" t="s">
        <v>506</v>
      </c>
      <c r="D5" s="51" t="s">
        <v>507</v>
      </c>
      <c r="E5" s="51">
        <v>550623</v>
      </c>
      <c r="F5" s="51" t="s">
        <v>508</v>
      </c>
      <c r="G5" s="51" t="s">
        <v>458</v>
      </c>
      <c r="H5" s="51">
        <v>17500</v>
      </c>
    </row>
    <row r="6" spans="1:8" hidden="1" outlineLevel="3" x14ac:dyDescent="0.25">
      <c r="A6" s="51">
        <v>150</v>
      </c>
      <c r="B6" s="51" t="s">
        <v>505</v>
      </c>
      <c r="C6" s="51" t="s">
        <v>509</v>
      </c>
      <c r="D6" s="51" t="s">
        <v>510</v>
      </c>
      <c r="E6" s="51">
        <v>610205</v>
      </c>
      <c r="F6" s="51" t="s">
        <v>511</v>
      </c>
      <c r="G6" s="51" t="s">
        <v>458</v>
      </c>
      <c r="H6" s="51">
        <v>15000</v>
      </c>
    </row>
    <row r="7" spans="1:8" hidden="1" outlineLevel="3" x14ac:dyDescent="0.25">
      <c r="A7" s="51">
        <v>151</v>
      </c>
      <c r="B7" s="51" t="s">
        <v>686</v>
      </c>
      <c r="C7" s="51" t="s">
        <v>693</v>
      </c>
      <c r="D7" s="51" t="s">
        <v>694</v>
      </c>
      <c r="E7" s="51" t="s">
        <v>695</v>
      </c>
      <c r="F7" s="51" t="s">
        <v>696</v>
      </c>
      <c r="G7" s="51" t="s">
        <v>458</v>
      </c>
      <c r="H7" s="51">
        <v>16000</v>
      </c>
    </row>
    <row r="8" spans="1:8" hidden="1" outlineLevel="3" x14ac:dyDescent="0.25">
      <c r="A8" s="51">
        <v>152</v>
      </c>
      <c r="B8" s="51" t="s">
        <v>686</v>
      </c>
      <c r="C8" s="51" t="s">
        <v>697</v>
      </c>
      <c r="D8" s="51" t="s">
        <v>698</v>
      </c>
      <c r="E8" s="51">
        <v>770809</v>
      </c>
      <c r="F8" s="51" t="s">
        <v>699</v>
      </c>
      <c r="G8" s="51" t="s">
        <v>458</v>
      </c>
      <c r="H8" s="51">
        <v>16500</v>
      </c>
    </row>
    <row r="9" spans="1:8" hidden="1" outlineLevel="3" x14ac:dyDescent="0.25">
      <c r="A9" s="51">
        <v>153</v>
      </c>
      <c r="B9" s="51" t="s">
        <v>686</v>
      </c>
      <c r="C9" s="51" t="s">
        <v>700</v>
      </c>
      <c r="D9" s="51" t="s">
        <v>701</v>
      </c>
      <c r="E9" s="51">
        <v>820506</v>
      </c>
      <c r="F9" s="51" t="s">
        <v>702</v>
      </c>
      <c r="G9" s="51" t="s">
        <v>458</v>
      </c>
      <c r="H9" s="51">
        <v>15000</v>
      </c>
    </row>
    <row r="10" spans="1:8" hidden="1" outlineLevel="3" x14ac:dyDescent="0.25">
      <c r="A10" s="51">
        <v>157</v>
      </c>
      <c r="B10" s="51" t="s">
        <v>505</v>
      </c>
      <c r="C10" s="51" t="s">
        <v>512</v>
      </c>
      <c r="D10" s="51" t="s">
        <v>513</v>
      </c>
      <c r="E10" s="51">
        <v>780921</v>
      </c>
      <c r="F10" s="51" t="s">
        <v>514</v>
      </c>
      <c r="G10" s="51" t="s">
        <v>458</v>
      </c>
      <c r="H10" s="51">
        <v>19000</v>
      </c>
    </row>
    <row r="11" spans="1:8" hidden="1" outlineLevel="3" x14ac:dyDescent="0.25">
      <c r="A11" s="51">
        <v>158</v>
      </c>
      <c r="B11" s="51" t="s">
        <v>455</v>
      </c>
      <c r="C11" s="51" t="s">
        <v>406</v>
      </c>
      <c r="D11" s="51" t="s">
        <v>456</v>
      </c>
      <c r="E11" s="51">
        <v>600108</v>
      </c>
      <c r="F11" s="51" t="s">
        <v>457</v>
      </c>
      <c r="G11" s="51" t="s">
        <v>458</v>
      </c>
      <c r="H11" s="51">
        <v>19000</v>
      </c>
    </row>
    <row r="12" spans="1:8" hidden="1" outlineLevel="3" x14ac:dyDescent="0.25">
      <c r="A12" s="51">
        <v>159</v>
      </c>
      <c r="B12" s="51" t="s">
        <v>455</v>
      </c>
      <c r="C12" s="51" t="s">
        <v>459</v>
      </c>
      <c r="D12" s="51" t="s">
        <v>460</v>
      </c>
      <c r="E12" s="51">
        <v>660523</v>
      </c>
      <c r="F12" s="51" t="s">
        <v>461</v>
      </c>
      <c r="G12" s="51" t="s">
        <v>458</v>
      </c>
      <c r="H12" s="51">
        <v>19000</v>
      </c>
    </row>
    <row r="13" spans="1:8" hidden="1" outlineLevel="3" x14ac:dyDescent="0.25">
      <c r="A13" s="51">
        <v>160</v>
      </c>
      <c r="B13" s="51" t="s">
        <v>455</v>
      </c>
      <c r="C13" s="51" t="s">
        <v>462</v>
      </c>
      <c r="D13" s="51" t="s">
        <v>463</v>
      </c>
      <c r="E13" s="51">
        <v>690807</v>
      </c>
      <c r="F13" s="51" t="s">
        <v>464</v>
      </c>
      <c r="G13" s="51" t="s">
        <v>458</v>
      </c>
      <c r="H13" s="51">
        <v>20000</v>
      </c>
    </row>
    <row r="14" spans="1:8" hidden="1" outlineLevel="3" x14ac:dyDescent="0.25">
      <c r="A14" s="51">
        <v>172</v>
      </c>
      <c r="B14" s="51" t="s">
        <v>455</v>
      </c>
      <c r="C14" s="51" t="s">
        <v>465</v>
      </c>
      <c r="D14" s="51" t="s">
        <v>466</v>
      </c>
      <c r="E14" s="51">
        <v>581203</v>
      </c>
      <c r="F14" s="51" t="s">
        <v>467</v>
      </c>
      <c r="G14" s="51" t="s">
        <v>458</v>
      </c>
      <c r="H14" s="51">
        <v>21000</v>
      </c>
    </row>
    <row r="15" spans="1:8" hidden="1" outlineLevel="3" x14ac:dyDescent="0.25">
      <c r="A15" s="51">
        <v>174</v>
      </c>
      <c r="B15" s="51" t="s">
        <v>675</v>
      </c>
      <c r="C15" s="51" t="s">
        <v>652</v>
      </c>
      <c r="D15" s="51" t="s">
        <v>627</v>
      </c>
      <c r="E15" s="51">
        <v>610201</v>
      </c>
      <c r="F15" s="51" t="s">
        <v>676</v>
      </c>
      <c r="G15" s="51" t="s">
        <v>458</v>
      </c>
      <c r="H15" s="51">
        <v>22000</v>
      </c>
    </row>
    <row r="16" spans="1:8" hidden="1" outlineLevel="3" x14ac:dyDescent="0.25">
      <c r="A16" s="51">
        <v>175</v>
      </c>
      <c r="B16" s="51" t="s">
        <v>675</v>
      </c>
      <c r="C16" s="51" t="s">
        <v>677</v>
      </c>
      <c r="D16" s="51" t="s">
        <v>678</v>
      </c>
      <c r="E16" s="51">
        <v>700113</v>
      </c>
      <c r="F16" s="51" t="s">
        <v>679</v>
      </c>
      <c r="G16" s="51" t="s">
        <v>458</v>
      </c>
      <c r="H16" s="51">
        <v>20000</v>
      </c>
    </row>
    <row r="17" spans="1:8" hidden="1" outlineLevel="3" x14ac:dyDescent="0.25">
      <c r="A17" s="51">
        <v>178</v>
      </c>
      <c r="B17" s="51" t="s">
        <v>686</v>
      </c>
      <c r="C17" s="51" t="s">
        <v>703</v>
      </c>
      <c r="D17" s="51" t="s">
        <v>704</v>
      </c>
      <c r="E17" s="51">
        <v>640520</v>
      </c>
      <c r="F17" s="51" t="s">
        <v>705</v>
      </c>
      <c r="G17" s="51" t="s">
        <v>458</v>
      </c>
      <c r="H17" s="51">
        <v>18000</v>
      </c>
    </row>
    <row r="18" spans="1:8" hidden="1" outlineLevel="3" x14ac:dyDescent="0.25">
      <c r="A18" s="51">
        <v>179</v>
      </c>
      <c r="B18" s="51" t="s">
        <v>686</v>
      </c>
      <c r="C18" s="51" t="s">
        <v>706</v>
      </c>
      <c r="D18" s="51" t="s">
        <v>707</v>
      </c>
      <c r="E18" s="51">
        <v>610202</v>
      </c>
      <c r="F18" s="51" t="s">
        <v>708</v>
      </c>
      <c r="G18" s="51" t="s">
        <v>458</v>
      </c>
      <c r="H18" s="51">
        <v>15500</v>
      </c>
    </row>
    <row r="19" spans="1:8" hidden="1" outlineLevel="3" x14ac:dyDescent="0.25">
      <c r="A19" s="51">
        <v>180</v>
      </c>
      <c r="B19" s="51" t="s">
        <v>675</v>
      </c>
      <c r="C19" s="51" t="s">
        <v>680</v>
      </c>
      <c r="D19" s="51" t="s">
        <v>681</v>
      </c>
      <c r="E19" s="51">
        <v>650513</v>
      </c>
      <c r="F19" s="51" t="s">
        <v>682</v>
      </c>
      <c r="G19" s="51" t="s">
        <v>458</v>
      </c>
      <c r="H19" s="51">
        <v>19500</v>
      </c>
    </row>
    <row r="20" spans="1:8" hidden="1" outlineLevel="3" x14ac:dyDescent="0.25">
      <c r="A20" s="51">
        <v>187</v>
      </c>
      <c r="B20" s="51" t="s">
        <v>505</v>
      </c>
      <c r="C20" s="51" t="s">
        <v>506</v>
      </c>
      <c r="D20" s="51" t="s">
        <v>515</v>
      </c>
      <c r="E20" s="51">
        <v>660821</v>
      </c>
      <c r="F20" s="51" t="s">
        <v>516</v>
      </c>
      <c r="G20" s="51" t="s">
        <v>458</v>
      </c>
      <c r="H20" s="51">
        <v>19500</v>
      </c>
    </row>
    <row r="21" spans="1:8" hidden="1" outlineLevel="3" x14ac:dyDescent="0.25">
      <c r="A21" s="51">
        <v>199</v>
      </c>
      <c r="B21" s="51" t="s">
        <v>686</v>
      </c>
      <c r="C21" s="51" t="s">
        <v>709</v>
      </c>
      <c r="D21" s="51" t="s">
        <v>710</v>
      </c>
      <c r="E21" s="51">
        <v>790811</v>
      </c>
      <c r="F21" s="51" t="s">
        <v>711</v>
      </c>
      <c r="G21" s="51" t="s">
        <v>458</v>
      </c>
      <c r="H21" s="51">
        <v>17500</v>
      </c>
    </row>
    <row r="22" spans="1:8" hidden="1" outlineLevel="3" x14ac:dyDescent="0.25">
      <c r="A22" s="51">
        <v>204</v>
      </c>
      <c r="B22" s="51" t="s">
        <v>686</v>
      </c>
      <c r="C22" s="51" t="s">
        <v>712</v>
      </c>
      <c r="D22" s="51" t="s">
        <v>713</v>
      </c>
      <c r="E22" s="51">
        <v>770315</v>
      </c>
      <c r="F22" s="51" t="s">
        <v>714</v>
      </c>
      <c r="G22" s="51" t="s">
        <v>458</v>
      </c>
      <c r="H22" s="51">
        <v>15000</v>
      </c>
    </row>
    <row r="23" spans="1:8" hidden="1" outlineLevel="3" x14ac:dyDescent="0.25">
      <c r="A23" s="51">
        <v>205</v>
      </c>
      <c r="B23" s="51" t="s">
        <v>455</v>
      </c>
      <c r="C23" s="51" t="s">
        <v>468</v>
      </c>
      <c r="D23" s="51" t="s">
        <v>469</v>
      </c>
      <c r="E23" s="51">
        <v>701212</v>
      </c>
      <c r="F23" s="51" t="s">
        <v>470</v>
      </c>
      <c r="G23" s="51" t="s">
        <v>458</v>
      </c>
      <c r="H23" s="51">
        <v>20000</v>
      </c>
    </row>
    <row r="24" spans="1:8" hidden="1" outlineLevel="3" x14ac:dyDescent="0.25">
      <c r="A24" s="51">
        <v>207</v>
      </c>
      <c r="B24" s="51" t="s">
        <v>455</v>
      </c>
      <c r="C24" s="51" t="s">
        <v>471</v>
      </c>
      <c r="D24" s="51" t="s">
        <v>472</v>
      </c>
      <c r="E24" s="51">
        <v>660201</v>
      </c>
      <c r="F24" s="51" t="s">
        <v>473</v>
      </c>
      <c r="G24" s="51" t="s">
        <v>458</v>
      </c>
      <c r="H24" s="51">
        <v>20000</v>
      </c>
    </row>
    <row r="25" spans="1:8" hidden="1" outlineLevel="3" x14ac:dyDescent="0.25">
      <c r="A25" s="51">
        <v>208</v>
      </c>
      <c r="B25" s="51" t="s">
        <v>686</v>
      </c>
      <c r="C25" s="51" t="s">
        <v>462</v>
      </c>
      <c r="D25" s="51" t="s">
        <v>715</v>
      </c>
      <c r="E25" s="51">
        <v>820512</v>
      </c>
      <c r="F25" s="51" t="s">
        <v>716</v>
      </c>
      <c r="G25" s="51" t="s">
        <v>458</v>
      </c>
      <c r="H25" s="51">
        <v>15000</v>
      </c>
    </row>
    <row r="26" spans="1:8" hidden="1" outlineLevel="3" x14ac:dyDescent="0.25">
      <c r="A26" s="51">
        <v>226</v>
      </c>
      <c r="B26" s="51" t="s">
        <v>505</v>
      </c>
      <c r="C26" s="51" t="s">
        <v>517</v>
      </c>
      <c r="D26" s="51" t="s">
        <v>518</v>
      </c>
      <c r="E26" s="51">
        <v>710805</v>
      </c>
      <c r="F26" s="51" t="s">
        <v>519</v>
      </c>
      <c r="G26" s="51" t="s">
        <v>458</v>
      </c>
      <c r="H26" s="51">
        <v>16500</v>
      </c>
    </row>
    <row r="27" spans="1:8" hidden="1" outlineLevel="3" x14ac:dyDescent="0.25">
      <c r="A27" s="51">
        <v>227</v>
      </c>
      <c r="B27" s="51" t="s">
        <v>505</v>
      </c>
      <c r="C27" s="51" t="s">
        <v>520</v>
      </c>
      <c r="D27" s="51" t="s">
        <v>521</v>
      </c>
      <c r="E27" s="51">
        <v>780514</v>
      </c>
      <c r="F27" s="51" t="s">
        <v>522</v>
      </c>
      <c r="G27" s="51" t="s">
        <v>458</v>
      </c>
      <c r="H27" s="51">
        <v>16000</v>
      </c>
    </row>
    <row r="28" spans="1:8" hidden="1" outlineLevel="3" x14ac:dyDescent="0.25">
      <c r="A28" s="51">
        <v>228</v>
      </c>
      <c r="B28" s="51" t="s">
        <v>505</v>
      </c>
      <c r="C28" s="51" t="s">
        <v>523</v>
      </c>
      <c r="D28" s="51" t="s">
        <v>524</v>
      </c>
      <c r="E28" s="51">
        <v>690514</v>
      </c>
      <c r="F28" s="51" t="s">
        <v>525</v>
      </c>
      <c r="G28" s="51" t="s">
        <v>458</v>
      </c>
      <c r="H28" s="51">
        <v>19500</v>
      </c>
    </row>
    <row r="29" spans="1:8" hidden="1" outlineLevel="3" x14ac:dyDescent="0.25">
      <c r="A29" s="51">
        <v>229</v>
      </c>
      <c r="B29" s="51" t="s">
        <v>505</v>
      </c>
      <c r="C29" s="51" t="s">
        <v>526</v>
      </c>
      <c r="D29" s="51" t="s">
        <v>527</v>
      </c>
      <c r="E29" s="51">
        <v>660809</v>
      </c>
      <c r="F29" s="51" t="s">
        <v>528</v>
      </c>
      <c r="G29" s="51" t="s">
        <v>458</v>
      </c>
      <c r="H29" s="51">
        <v>19000</v>
      </c>
    </row>
    <row r="30" spans="1:8" hidden="1" outlineLevel="3" x14ac:dyDescent="0.25">
      <c r="A30" s="51">
        <v>235</v>
      </c>
      <c r="B30" s="51" t="s">
        <v>505</v>
      </c>
      <c r="C30" s="51" t="s">
        <v>506</v>
      </c>
      <c r="D30" s="51" t="s">
        <v>529</v>
      </c>
      <c r="E30" s="51">
        <v>810523</v>
      </c>
      <c r="F30" s="51" t="s">
        <v>530</v>
      </c>
      <c r="G30" s="51" t="s">
        <v>458</v>
      </c>
      <c r="H30" s="51">
        <v>19000</v>
      </c>
    </row>
    <row r="31" spans="1:8" outlineLevel="2" collapsed="1" x14ac:dyDescent="0.25">
      <c r="G31" s="69" t="s">
        <v>782</v>
      </c>
      <c r="H31" s="51">
        <f>SUBTOTAL(1,H2:H30)</f>
        <v>18213.793103448275</v>
      </c>
    </row>
    <row r="32" spans="1:8" outlineLevel="1" x14ac:dyDescent="0.25">
      <c r="G32" s="69" t="s">
        <v>778</v>
      </c>
      <c r="H32" s="51">
        <f>SUBTOTAL(9,H2:H30)</f>
        <v>528200</v>
      </c>
    </row>
    <row r="33" spans="1:8" hidden="1" outlineLevel="3" x14ac:dyDescent="0.25">
      <c r="A33" s="51">
        <v>125</v>
      </c>
      <c r="B33" s="51" t="s">
        <v>686</v>
      </c>
      <c r="C33" s="51" t="s">
        <v>717</v>
      </c>
      <c r="D33" s="51" t="s">
        <v>718</v>
      </c>
      <c r="E33" s="51">
        <v>430520</v>
      </c>
      <c r="F33" s="51" t="s">
        <v>719</v>
      </c>
      <c r="G33" s="51" t="s">
        <v>477</v>
      </c>
      <c r="H33" s="51">
        <v>18000</v>
      </c>
    </row>
    <row r="34" spans="1:8" hidden="1" outlineLevel="3" x14ac:dyDescent="0.25">
      <c r="A34" s="51">
        <v>130</v>
      </c>
      <c r="B34" s="51" t="s">
        <v>505</v>
      </c>
      <c r="C34" s="51" t="s">
        <v>496</v>
      </c>
      <c r="D34" s="51" t="s">
        <v>531</v>
      </c>
      <c r="E34" s="51">
        <v>690605</v>
      </c>
      <c r="F34" s="51" t="s">
        <v>532</v>
      </c>
      <c r="G34" s="51" t="s">
        <v>477</v>
      </c>
      <c r="H34" s="51">
        <v>17500</v>
      </c>
    </row>
    <row r="35" spans="1:8" hidden="1" outlineLevel="3" x14ac:dyDescent="0.25">
      <c r="A35" s="51">
        <v>131</v>
      </c>
      <c r="B35" s="51" t="s">
        <v>418</v>
      </c>
      <c r="C35" s="51" t="s">
        <v>640</v>
      </c>
      <c r="D35" s="51" t="s">
        <v>641</v>
      </c>
      <c r="E35" s="51">
        <v>600213</v>
      </c>
      <c r="F35" s="51" t="s">
        <v>642</v>
      </c>
      <c r="G35" s="51" t="s">
        <v>477</v>
      </c>
      <c r="H35" s="51">
        <v>20000</v>
      </c>
    </row>
    <row r="36" spans="1:8" hidden="1" outlineLevel="3" x14ac:dyDescent="0.25">
      <c r="A36" s="51">
        <v>137</v>
      </c>
      <c r="B36" s="51" t="s">
        <v>686</v>
      </c>
      <c r="C36" s="51" t="s">
        <v>632</v>
      </c>
      <c r="D36" s="51" t="s">
        <v>720</v>
      </c>
      <c r="E36" s="51">
        <v>620405</v>
      </c>
      <c r="F36" s="51" t="s">
        <v>721</v>
      </c>
      <c r="G36" s="51" t="s">
        <v>477</v>
      </c>
      <c r="H36" s="51">
        <v>17000</v>
      </c>
    </row>
    <row r="37" spans="1:8" hidden="1" outlineLevel="3" x14ac:dyDescent="0.25">
      <c r="A37" s="51">
        <v>140</v>
      </c>
      <c r="B37" s="51" t="s">
        <v>505</v>
      </c>
      <c r="C37" s="51" t="s">
        <v>533</v>
      </c>
      <c r="D37" s="51" t="s">
        <v>534</v>
      </c>
      <c r="E37" s="51">
        <v>760408</v>
      </c>
      <c r="F37" s="51" t="s">
        <v>535</v>
      </c>
      <c r="G37" s="51" t="s">
        <v>477</v>
      </c>
      <c r="H37" s="51">
        <v>17500</v>
      </c>
    </row>
    <row r="38" spans="1:8" hidden="1" outlineLevel="3" x14ac:dyDescent="0.25">
      <c r="A38" s="51">
        <v>143</v>
      </c>
      <c r="B38" s="51" t="s">
        <v>686</v>
      </c>
      <c r="C38" s="51" t="s">
        <v>722</v>
      </c>
      <c r="D38" s="51" t="s">
        <v>667</v>
      </c>
      <c r="E38" s="51">
        <v>590430</v>
      </c>
      <c r="F38" s="51" t="s">
        <v>723</v>
      </c>
      <c r="G38" s="51" t="s">
        <v>477</v>
      </c>
      <c r="H38" s="51">
        <v>15000</v>
      </c>
    </row>
    <row r="39" spans="1:8" hidden="1" outlineLevel="3" x14ac:dyDescent="0.25">
      <c r="A39" s="51">
        <v>146</v>
      </c>
      <c r="B39" s="51" t="s">
        <v>505</v>
      </c>
      <c r="C39" s="51" t="s">
        <v>536</v>
      </c>
      <c r="D39" s="51" t="s">
        <v>537</v>
      </c>
      <c r="E39" s="51" t="s">
        <v>538</v>
      </c>
      <c r="F39" s="51" t="s">
        <v>539</v>
      </c>
      <c r="G39" s="51" t="s">
        <v>477</v>
      </c>
      <c r="H39" s="51">
        <v>17000</v>
      </c>
    </row>
    <row r="40" spans="1:8" hidden="1" outlineLevel="3" x14ac:dyDescent="0.25">
      <c r="A40" s="51">
        <v>149</v>
      </c>
      <c r="B40" s="51" t="s">
        <v>505</v>
      </c>
      <c r="C40" s="51" t="s">
        <v>540</v>
      </c>
      <c r="D40" s="51" t="s">
        <v>541</v>
      </c>
      <c r="E40" s="51">
        <v>450508</v>
      </c>
      <c r="F40" s="51" t="s">
        <v>542</v>
      </c>
      <c r="G40" s="51" t="s">
        <v>477</v>
      </c>
      <c r="H40" s="51">
        <v>20000</v>
      </c>
    </row>
    <row r="41" spans="1:8" hidden="1" outlineLevel="3" x14ac:dyDescent="0.25">
      <c r="A41" s="51">
        <v>154</v>
      </c>
      <c r="B41" s="51" t="s">
        <v>686</v>
      </c>
      <c r="C41" s="51" t="s">
        <v>724</v>
      </c>
      <c r="D41" s="51" t="s">
        <v>725</v>
      </c>
      <c r="E41" s="51">
        <v>440315</v>
      </c>
      <c r="F41" s="51" t="s">
        <v>726</v>
      </c>
      <c r="G41" s="51" t="s">
        <v>477</v>
      </c>
      <c r="H41" s="51">
        <v>16000</v>
      </c>
    </row>
    <row r="42" spans="1:8" hidden="1" outlineLevel="3" x14ac:dyDescent="0.25">
      <c r="A42" s="51">
        <v>155</v>
      </c>
      <c r="B42" s="51" t="s">
        <v>505</v>
      </c>
      <c r="C42" s="51" t="s">
        <v>543</v>
      </c>
      <c r="D42" s="51" t="s">
        <v>544</v>
      </c>
      <c r="E42" s="51">
        <v>630924</v>
      </c>
      <c r="F42" s="51" t="s">
        <v>545</v>
      </c>
      <c r="G42" s="51" t="s">
        <v>477</v>
      </c>
      <c r="H42" s="51">
        <v>17500</v>
      </c>
    </row>
    <row r="43" spans="1:8" hidden="1" outlineLevel="3" x14ac:dyDescent="0.25">
      <c r="A43" s="51">
        <v>173</v>
      </c>
      <c r="B43" s="51" t="s">
        <v>455</v>
      </c>
      <c r="C43" s="51" t="s">
        <v>474</v>
      </c>
      <c r="D43" s="51" t="s">
        <v>475</v>
      </c>
      <c r="E43" s="51">
        <v>550401</v>
      </c>
      <c r="F43" s="51" t="s">
        <v>476</v>
      </c>
      <c r="G43" s="51" t="s">
        <v>477</v>
      </c>
      <c r="H43" s="51">
        <v>18000</v>
      </c>
    </row>
    <row r="44" spans="1:8" hidden="1" outlineLevel="3" x14ac:dyDescent="0.25">
      <c r="A44" s="51">
        <v>176</v>
      </c>
      <c r="B44" s="51" t="s">
        <v>686</v>
      </c>
      <c r="C44" s="51" t="s">
        <v>727</v>
      </c>
      <c r="D44" s="51" t="s">
        <v>728</v>
      </c>
      <c r="E44" s="51">
        <v>751230</v>
      </c>
      <c r="F44" s="51" t="s">
        <v>729</v>
      </c>
      <c r="G44" s="51" t="s">
        <v>477</v>
      </c>
      <c r="H44" s="51">
        <v>15000</v>
      </c>
    </row>
    <row r="45" spans="1:8" hidden="1" outlineLevel="3" x14ac:dyDescent="0.25">
      <c r="A45" s="51">
        <v>181</v>
      </c>
      <c r="B45" s="51" t="s">
        <v>455</v>
      </c>
      <c r="C45" s="51" t="s">
        <v>478</v>
      </c>
      <c r="D45" s="51" t="s">
        <v>479</v>
      </c>
      <c r="E45" s="51">
        <v>700421</v>
      </c>
      <c r="F45" s="51" t="s">
        <v>480</v>
      </c>
      <c r="G45" s="51" t="s">
        <v>477</v>
      </c>
      <c r="H45" s="51">
        <v>18000</v>
      </c>
    </row>
    <row r="46" spans="1:8" hidden="1" outlineLevel="3" x14ac:dyDescent="0.25">
      <c r="A46" s="51">
        <v>182</v>
      </c>
      <c r="B46" s="51" t="s">
        <v>505</v>
      </c>
      <c r="C46" s="51" t="s">
        <v>546</v>
      </c>
      <c r="D46" s="51" t="s">
        <v>547</v>
      </c>
      <c r="E46" s="51">
        <v>650412</v>
      </c>
      <c r="F46" s="51" t="s">
        <v>548</v>
      </c>
      <c r="G46" s="51" t="s">
        <v>477</v>
      </c>
      <c r="H46" s="51">
        <v>18000</v>
      </c>
    </row>
    <row r="47" spans="1:8" hidden="1" outlineLevel="3" x14ac:dyDescent="0.25">
      <c r="A47" s="51">
        <v>190</v>
      </c>
      <c r="B47" s="51" t="s">
        <v>505</v>
      </c>
      <c r="C47" s="51" t="s">
        <v>549</v>
      </c>
      <c r="D47" s="51" t="s">
        <v>550</v>
      </c>
      <c r="E47" s="51">
        <v>800102</v>
      </c>
      <c r="F47" s="51" t="s">
        <v>551</v>
      </c>
      <c r="G47" s="51" t="s">
        <v>477</v>
      </c>
      <c r="H47" s="51">
        <v>16500</v>
      </c>
    </row>
    <row r="48" spans="1:8" hidden="1" outlineLevel="3" x14ac:dyDescent="0.25">
      <c r="A48" s="51">
        <v>193</v>
      </c>
      <c r="B48" s="51" t="s">
        <v>505</v>
      </c>
      <c r="C48" s="51" t="s">
        <v>552</v>
      </c>
      <c r="D48" s="51" t="s">
        <v>553</v>
      </c>
      <c r="E48" s="51">
        <v>740120</v>
      </c>
      <c r="F48" s="51" t="s">
        <v>554</v>
      </c>
      <c r="G48" s="51" t="s">
        <v>477</v>
      </c>
      <c r="H48" s="51">
        <v>15000</v>
      </c>
    </row>
    <row r="49" spans="1:8" hidden="1" outlineLevel="3" x14ac:dyDescent="0.25">
      <c r="A49" s="51">
        <v>197</v>
      </c>
      <c r="B49" s="51" t="s">
        <v>455</v>
      </c>
      <c r="C49" s="51" t="s">
        <v>481</v>
      </c>
      <c r="D49" s="51" t="s">
        <v>482</v>
      </c>
      <c r="E49" s="51">
        <v>640201</v>
      </c>
      <c r="F49" s="51" t="s">
        <v>483</v>
      </c>
      <c r="G49" s="51" t="s">
        <v>477</v>
      </c>
      <c r="H49" s="51">
        <v>20000</v>
      </c>
    </row>
    <row r="50" spans="1:8" hidden="1" outlineLevel="3" x14ac:dyDescent="0.25">
      <c r="A50" s="51">
        <v>200</v>
      </c>
      <c r="B50" s="51" t="s">
        <v>686</v>
      </c>
      <c r="C50" s="51" t="s">
        <v>730</v>
      </c>
      <c r="D50" s="51" t="s">
        <v>558</v>
      </c>
      <c r="E50" s="51">
        <v>701112</v>
      </c>
      <c r="F50" s="51" t="s">
        <v>731</v>
      </c>
      <c r="G50" s="51" t="s">
        <v>477</v>
      </c>
      <c r="H50" s="51">
        <v>16000</v>
      </c>
    </row>
    <row r="51" spans="1:8" hidden="1" outlineLevel="3" x14ac:dyDescent="0.25">
      <c r="A51" s="51">
        <v>202</v>
      </c>
      <c r="B51" s="51" t="s">
        <v>686</v>
      </c>
      <c r="C51" s="51" t="s">
        <v>732</v>
      </c>
      <c r="D51" s="51" t="s">
        <v>733</v>
      </c>
      <c r="E51" s="51">
        <v>620323</v>
      </c>
      <c r="F51" s="51" t="s">
        <v>734</v>
      </c>
      <c r="G51" s="51" t="s">
        <v>477</v>
      </c>
      <c r="H51" s="51">
        <v>15500</v>
      </c>
    </row>
    <row r="52" spans="1:8" hidden="1" outlineLevel="3" x14ac:dyDescent="0.25">
      <c r="A52" s="51">
        <v>206</v>
      </c>
      <c r="B52" s="51" t="s">
        <v>455</v>
      </c>
      <c r="C52" s="51" t="s">
        <v>484</v>
      </c>
      <c r="D52" s="51" t="s">
        <v>485</v>
      </c>
      <c r="E52" s="51">
        <v>660502</v>
      </c>
      <c r="F52" s="51" t="s">
        <v>486</v>
      </c>
      <c r="G52" s="51" t="s">
        <v>477</v>
      </c>
      <c r="H52" s="51">
        <v>18000</v>
      </c>
    </row>
    <row r="53" spans="1:8" hidden="1" outlineLevel="3" x14ac:dyDescent="0.25">
      <c r="A53" s="51">
        <v>219</v>
      </c>
      <c r="B53" s="51" t="s">
        <v>455</v>
      </c>
      <c r="C53" s="51" t="s">
        <v>487</v>
      </c>
      <c r="D53" s="51" t="s">
        <v>488</v>
      </c>
      <c r="E53" s="51">
        <v>710415</v>
      </c>
      <c r="F53" s="51" t="s">
        <v>489</v>
      </c>
      <c r="G53" s="51" t="s">
        <v>477</v>
      </c>
      <c r="H53" s="51">
        <v>21000</v>
      </c>
    </row>
    <row r="54" spans="1:8" hidden="1" outlineLevel="3" x14ac:dyDescent="0.25">
      <c r="A54" s="51">
        <v>220</v>
      </c>
      <c r="B54" s="51" t="s">
        <v>418</v>
      </c>
      <c r="C54" s="51" t="s">
        <v>643</v>
      </c>
      <c r="D54" s="51" t="s">
        <v>644</v>
      </c>
      <c r="E54" s="51">
        <v>610205</v>
      </c>
      <c r="F54" s="51" t="s">
        <v>645</v>
      </c>
      <c r="G54" s="51" t="s">
        <v>477</v>
      </c>
      <c r="H54" s="51">
        <v>21000</v>
      </c>
    </row>
    <row r="55" spans="1:8" outlineLevel="2" collapsed="1" x14ac:dyDescent="0.25">
      <c r="G55" s="69" t="s">
        <v>783</v>
      </c>
      <c r="H55" s="51">
        <f>SUBTOTAL(1,H33:H54)</f>
        <v>17613.636363636364</v>
      </c>
    </row>
    <row r="56" spans="1:8" outlineLevel="1" x14ac:dyDescent="0.25">
      <c r="G56" s="69" t="s">
        <v>779</v>
      </c>
      <c r="H56" s="51">
        <f>SUBTOTAL(9,H33:H54)</f>
        <v>387500</v>
      </c>
    </row>
    <row r="57" spans="1:8" hidden="1" outlineLevel="3" x14ac:dyDescent="0.25">
      <c r="A57" s="51">
        <v>123</v>
      </c>
      <c r="B57" s="51" t="s">
        <v>418</v>
      </c>
      <c r="C57" s="51" t="s">
        <v>608</v>
      </c>
      <c r="D57" s="51" t="s">
        <v>646</v>
      </c>
      <c r="E57" s="51">
        <v>750312</v>
      </c>
      <c r="F57" s="51" t="s">
        <v>647</v>
      </c>
      <c r="G57" s="51" t="s">
        <v>492</v>
      </c>
      <c r="H57" s="51">
        <v>22000</v>
      </c>
    </row>
    <row r="58" spans="1:8" hidden="1" outlineLevel="3" x14ac:dyDescent="0.25">
      <c r="A58" s="51">
        <v>126</v>
      </c>
      <c r="B58" s="51" t="s">
        <v>686</v>
      </c>
      <c r="C58" s="51" t="s">
        <v>735</v>
      </c>
      <c r="D58" s="51" t="s">
        <v>736</v>
      </c>
      <c r="E58" s="51">
        <v>770624</v>
      </c>
      <c r="F58" s="51" t="s">
        <v>737</v>
      </c>
      <c r="G58" s="51" t="s">
        <v>492</v>
      </c>
      <c r="H58" s="51">
        <v>15500</v>
      </c>
    </row>
    <row r="59" spans="1:8" hidden="1" outlineLevel="3" x14ac:dyDescent="0.25">
      <c r="A59" s="51">
        <v>132</v>
      </c>
      <c r="B59" s="51" t="s">
        <v>418</v>
      </c>
      <c r="C59" s="51" t="s">
        <v>481</v>
      </c>
      <c r="D59" s="51" t="s">
        <v>648</v>
      </c>
      <c r="E59" s="51">
        <v>780402</v>
      </c>
      <c r="F59" s="51" t="s">
        <v>649</v>
      </c>
      <c r="G59" s="51" t="s">
        <v>492</v>
      </c>
      <c r="H59" s="51">
        <v>21000</v>
      </c>
    </row>
    <row r="60" spans="1:8" hidden="1" outlineLevel="3" x14ac:dyDescent="0.25">
      <c r="A60" s="51">
        <v>133</v>
      </c>
      <c r="B60" s="51" t="s">
        <v>505</v>
      </c>
      <c r="C60" s="51" t="s">
        <v>520</v>
      </c>
      <c r="D60" s="51" t="s">
        <v>555</v>
      </c>
      <c r="E60" s="51">
        <v>750630</v>
      </c>
      <c r="F60" s="51" t="s">
        <v>556</v>
      </c>
      <c r="G60" s="51" t="s">
        <v>492</v>
      </c>
      <c r="H60" s="51">
        <v>17500</v>
      </c>
    </row>
    <row r="61" spans="1:8" hidden="1" outlineLevel="3" x14ac:dyDescent="0.25">
      <c r="A61" s="51">
        <v>134</v>
      </c>
      <c r="B61" s="51" t="s">
        <v>686</v>
      </c>
      <c r="C61" s="51" t="s">
        <v>738</v>
      </c>
      <c r="D61" s="51" t="s">
        <v>739</v>
      </c>
      <c r="E61" s="51">
        <v>550409</v>
      </c>
      <c r="F61" s="51" t="s">
        <v>740</v>
      </c>
      <c r="G61" s="51" t="s">
        <v>492</v>
      </c>
      <c r="H61" s="51">
        <v>15500</v>
      </c>
    </row>
    <row r="62" spans="1:8" hidden="1" outlineLevel="3" x14ac:dyDescent="0.25">
      <c r="A62" s="51">
        <v>135</v>
      </c>
      <c r="B62" s="51" t="s">
        <v>686</v>
      </c>
      <c r="C62" s="51" t="s">
        <v>741</v>
      </c>
      <c r="D62" s="51" t="s">
        <v>742</v>
      </c>
      <c r="E62" s="51">
        <v>490625</v>
      </c>
      <c r="F62" s="51" t="s">
        <v>743</v>
      </c>
      <c r="G62" s="51" t="s">
        <v>492</v>
      </c>
      <c r="H62" s="51">
        <v>17500</v>
      </c>
    </row>
    <row r="63" spans="1:8" hidden="1" outlineLevel="3" x14ac:dyDescent="0.25">
      <c r="A63" s="51">
        <v>136</v>
      </c>
      <c r="B63" s="51" t="s">
        <v>686</v>
      </c>
      <c r="C63" s="51" t="s">
        <v>744</v>
      </c>
      <c r="D63" s="51" t="s">
        <v>745</v>
      </c>
      <c r="E63" s="51">
        <v>540116</v>
      </c>
      <c r="F63" s="51" t="s">
        <v>746</v>
      </c>
      <c r="G63" s="51" t="s">
        <v>492</v>
      </c>
      <c r="H63" s="51">
        <v>17000</v>
      </c>
    </row>
    <row r="64" spans="1:8" hidden="1" outlineLevel="3" x14ac:dyDescent="0.25">
      <c r="A64" s="51">
        <v>138</v>
      </c>
      <c r="B64" s="51" t="s">
        <v>505</v>
      </c>
      <c r="C64" s="51" t="s">
        <v>557</v>
      </c>
      <c r="D64" s="51" t="s">
        <v>558</v>
      </c>
      <c r="E64" s="51">
        <v>800527</v>
      </c>
      <c r="F64" s="51" t="s">
        <v>559</v>
      </c>
      <c r="G64" s="51" t="s">
        <v>492</v>
      </c>
      <c r="H64" s="51">
        <v>17000</v>
      </c>
    </row>
    <row r="65" spans="1:8" hidden="1" outlineLevel="3" x14ac:dyDescent="0.25">
      <c r="A65" s="51">
        <v>139</v>
      </c>
      <c r="B65" s="51" t="s">
        <v>505</v>
      </c>
      <c r="C65" s="51" t="s">
        <v>560</v>
      </c>
      <c r="D65" s="51" t="s">
        <v>561</v>
      </c>
      <c r="E65" s="51">
        <v>700508</v>
      </c>
      <c r="F65" s="51" t="s">
        <v>562</v>
      </c>
      <c r="G65" s="51" t="s">
        <v>492</v>
      </c>
      <c r="H65" s="51">
        <v>17500</v>
      </c>
    </row>
    <row r="66" spans="1:8" hidden="1" outlineLevel="3" x14ac:dyDescent="0.25">
      <c r="A66" s="51">
        <v>141</v>
      </c>
      <c r="B66" s="51" t="s">
        <v>505</v>
      </c>
      <c r="C66" s="51" t="s">
        <v>563</v>
      </c>
      <c r="D66" s="51" t="s">
        <v>564</v>
      </c>
      <c r="E66" s="51">
        <v>800525</v>
      </c>
      <c r="F66" s="51" t="s">
        <v>565</v>
      </c>
      <c r="G66" s="51" t="s">
        <v>492</v>
      </c>
      <c r="H66" s="51">
        <v>17000</v>
      </c>
    </row>
    <row r="67" spans="1:8" hidden="1" outlineLevel="3" x14ac:dyDescent="0.25">
      <c r="A67" s="51">
        <v>142</v>
      </c>
      <c r="B67" s="51" t="s">
        <v>686</v>
      </c>
      <c r="C67" s="51" t="s">
        <v>523</v>
      </c>
      <c r="D67" s="51" t="s">
        <v>747</v>
      </c>
      <c r="E67" s="51" t="s">
        <v>748</v>
      </c>
      <c r="F67" s="51" t="s">
        <v>749</v>
      </c>
      <c r="G67" s="51" t="s">
        <v>492</v>
      </c>
      <c r="H67" s="51">
        <v>16000</v>
      </c>
    </row>
    <row r="68" spans="1:8" hidden="1" outlineLevel="3" x14ac:dyDescent="0.25">
      <c r="A68" s="51">
        <v>144</v>
      </c>
      <c r="B68" s="51" t="s">
        <v>686</v>
      </c>
      <c r="C68" s="51" t="s">
        <v>588</v>
      </c>
      <c r="D68" s="51" t="s">
        <v>667</v>
      </c>
      <c r="E68" s="51">
        <v>791224</v>
      </c>
      <c r="F68" s="51" t="s">
        <v>750</v>
      </c>
      <c r="G68" s="51" t="s">
        <v>492</v>
      </c>
      <c r="H68" s="51">
        <v>15500</v>
      </c>
    </row>
    <row r="69" spans="1:8" hidden="1" outlineLevel="3" x14ac:dyDescent="0.25">
      <c r="A69" s="51">
        <v>145</v>
      </c>
      <c r="B69" s="51" t="s">
        <v>686</v>
      </c>
      <c r="C69" s="51" t="s">
        <v>751</v>
      </c>
      <c r="D69" s="51" t="s">
        <v>537</v>
      </c>
      <c r="E69" s="51">
        <v>760504</v>
      </c>
      <c r="F69" s="51" t="s">
        <v>752</v>
      </c>
      <c r="G69" s="51" t="s">
        <v>492</v>
      </c>
      <c r="H69" s="51">
        <v>16000</v>
      </c>
    </row>
    <row r="70" spans="1:8" hidden="1" outlineLevel="3" x14ac:dyDescent="0.25">
      <c r="A70" s="51">
        <v>147</v>
      </c>
      <c r="B70" s="51" t="s">
        <v>418</v>
      </c>
      <c r="C70" s="51" t="s">
        <v>650</v>
      </c>
      <c r="D70" s="51" t="s">
        <v>537</v>
      </c>
      <c r="E70" s="51">
        <v>661111</v>
      </c>
      <c r="F70" s="51" t="s">
        <v>651</v>
      </c>
      <c r="G70" s="51" t="s">
        <v>492</v>
      </c>
      <c r="H70" s="51">
        <v>19500</v>
      </c>
    </row>
    <row r="71" spans="1:8" hidden="1" outlineLevel="3" x14ac:dyDescent="0.25">
      <c r="A71" s="51">
        <v>148</v>
      </c>
      <c r="B71" s="51" t="s">
        <v>418</v>
      </c>
      <c r="C71" s="51" t="s">
        <v>652</v>
      </c>
      <c r="D71" s="51" t="s">
        <v>653</v>
      </c>
      <c r="E71" s="51">
        <v>500203</v>
      </c>
      <c r="F71" s="51" t="s">
        <v>654</v>
      </c>
      <c r="G71" s="51" t="s">
        <v>492</v>
      </c>
      <c r="H71" s="51">
        <v>22000</v>
      </c>
    </row>
    <row r="72" spans="1:8" hidden="1" outlineLevel="3" x14ac:dyDescent="0.25">
      <c r="A72" s="51">
        <v>156</v>
      </c>
      <c r="B72" s="51" t="s">
        <v>505</v>
      </c>
      <c r="C72" s="51" t="s">
        <v>566</v>
      </c>
      <c r="D72" s="51" t="s">
        <v>567</v>
      </c>
      <c r="E72" s="51">
        <v>770814</v>
      </c>
      <c r="F72" s="51" t="s">
        <v>568</v>
      </c>
      <c r="G72" s="51" t="s">
        <v>492</v>
      </c>
      <c r="H72" s="51">
        <v>19000</v>
      </c>
    </row>
    <row r="73" spans="1:8" hidden="1" outlineLevel="3" x14ac:dyDescent="0.25">
      <c r="A73" s="51">
        <v>161</v>
      </c>
      <c r="B73" s="51" t="s">
        <v>686</v>
      </c>
      <c r="C73" s="51" t="s">
        <v>753</v>
      </c>
      <c r="D73" s="51" t="s">
        <v>754</v>
      </c>
      <c r="E73" s="51">
        <v>831213</v>
      </c>
      <c r="F73" s="51" t="s">
        <v>755</v>
      </c>
      <c r="G73" s="51" t="s">
        <v>492</v>
      </c>
      <c r="H73" s="51">
        <v>15000</v>
      </c>
    </row>
    <row r="74" spans="1:8" hidden="1" outlineLevel="3" x14ac:dyDescent="0.25">
      <c r="A74" s="51">
        <v>162</v>
      </c>
      <c r="B74" s="51" t="s">
        <v>686</v>
      </c>
      <c r="C74" s="51" t="s">
        <v>756</v>
      </c>
      <c r="D74" s="51" t="s">
        <v>757</v>
      </c>
      <c r="E74" s="51">
        <v>710520</v>
      </c>
      <c r="F74" s="51" t="s">
        <v>758</v>
      </c>
      <c r="G74" s="51" t="s">
        <v>492</v>
      </c>
      <c r="H74" s="51">
        <v>15000</v>
      </c>
    </row>
    <row r="75" spans="1:8" hidden="1" outlineLevel="3" x14ac:dyDescent="0.25">
      <c r="A75" s="51">
        <v>163</v>
      </c>
      <c r="B75" s="51" t="s">
        <v>686</v>
      </c>
      <c r="C75" s="51" t="s">
        <v>421</v>
      </c>
      <c r="D75" s="51" t="s">
        <v>759</v>
      </c>
      <c r="E75" s="51">
        <v>710410</v>
      </c>
      <c r="F75" s="51" t="s">
        <v>760</v>
      </c>
      <c r="G75" s="51" t="s">
        <v>492</v>
      </c>
      <c r="H75" s="51">
        <v>16000</v>
      </c>
    </row>
    <row r="76" spans="1:8" hidden="1" outlineLevel="3" x14ac:dyDescent="0.25">
      <c r="A76" s="51">
        <v>164</v>
      </c>
      <c r="B76" s="51" t="s">
        <v>686</v>
      </c>
      <c r="C76" s="51" t="s">
        <v>761</v>
      </c>
      <c r="D76" s="51" t="s">
        <v>762</v>
      </c>
      <c r="E76" s="51" t="s">
        <v>763</v>
      </c>
      <c r="F76" s="51" t="s">
        <v>764</v>
      </c>
      <c r="G76" s="51" t="s">
        <v>492</v>
      </c>
      <c r="H76" s="51">
        <v>15000</v>
      </c>
    </row>
    <row r="77" spans="1:8" hidden="1" outlineLevel="3" x14ac:dyDescent="0.25">
      <c r="A77" s="51">
        <v>165</v>
      </c>
      <c r="B77" s="51" t="s">
        <v>505</v>
      </c>
      <c r="C77" s="51" t="s">
        <v>569</v>
      </c>
      <c r="D77" s="51" t="s">
        <v>570</v>
      </c>
      <c r="E77" s="51">
        <v>580412</v>
      </c>
      <c r="F77" s="51" t="s">
        <v>571</v>
      </c>
      <c r="G77" s="51" t="s">
        <v>492</v>
      </c>
      <c r="H77" s="51">
        <v>18000</v>
      </c>
    </row>
    <row r="78" spans="1:8" hidden="1" outlineLevel="3" x14ac:dyDescent="0.25">
      <c r="A78" s="51">
        <v>166</v>
      </c>
      <c r="B78" s="51" t="s">
        <v>418</v>
      </c>
      <c r="C78" s="51" t="s">
        <v>655</v>
      </c>
      <c r="D78" s="51" t="s">
        <v>656</v>
      </c>
      <c r="E78" s="51">
        <v>800223</v>
      </c>
      <c r="F78" s="51" t="s">
        <v>657</v>
      </c>
      <c r="G78" s="51" t="s">
        <v>492</v>
      </c>
      <c r="H78" s="51">
        <v>18000</v>
      </c>
    </row>
    <row r="79" spans="1:8" hidden="1" outlineLevel="3" x14ac:dyDescent="0.25">
      <c r="A79" s="51">
        <v>167</v>
      </c>
      <c r="B79" s="51" t="s">
        <v>418</v>
      </c>
      <c r="C79" s="51" t="s">
        <v>658</v>
      </c>
      <c r="D79" s="51" t="s">
        <v>659</v>
      </c>
      <c r="E79" s="51">
        <v>770412</v>
      </c>
      <c r="F79" s="51" t="s">
        <v>660</v>
      </c>
      <c r="G79" s="51" t="s">
        <v>492</v>
      </c>
      <c r="H79" s="51">
        <v>21000</v>
      </c>
    </row>
    <row r="80" spans="1:8" hidden="1" outlineLevel="3" x14ac:dyDescent="0.25">
      <c r="A80" s="51">
        <v>168</v>
      </c>
      <c r="B80" s="51" t="s">
        <v>455</v>
      </c>
      <c r="C80" s="51" t="s">
        <v>487</v>
      </c>
      <c r="D80" s="51" t="s">
        <v>490</v>
      </c>
      <c r="E80" s="51">
        <v>730812</v>
      </c>
      <c r="F80" s="51" t="s">
        <v>491</v>
      </c>
      <c r="G80" s="51" t="s">
        <v>492</v>
      </c>
      <c r="H80" s="51">
        <v>19500</v>
      </c>
    </row>
    <row r="81" spans="1:8" hidden="1" outlineLevel="3" x14ac:dyDescent="0.25">
      <c r="A81" s="51">
        <v>169</v>
      </c>
      <c r="B81" s="51" t="s">
        <v>455</v>
      </c>
      <c r="C81" s="51" t="s">
        <v>493</v>
      </c>
      <c r="D81" s="51" t="s">
        <v>494</v>
      </c>
      <c r="E81" s="51">
        <v>780630</v>
      </c>
      <c r="F81" s="51" t="s">
        <v>495</v>
      </c>
      <c r="G81" s="51" t="s">
        <v>492</v>
      </c>
      <c r="H81" s="51">
        <v>18000</v>
      </c>
    </row>
    <row r="82" spans="1:8" hidden="1" outlineLevel="3" x14ac:dyDescent="0.25">
      <c r="A82" s="51">
        <v>170</v>
      </c>
      <c r="B82" s="51" t="s">
        <v>418</v>
      </c>
      <c r="C82" s="51" t="s">
        <v>661</v>
      </c>
      <c r="D82" s="51" t="s">
        <v>662</v>
      </c>
      <c r="E82" s="51">
        <v>640512</v>
      </c>
      <c r="F82" s="51" t="s">
        <v>663</v>
      </c>
      <c r="G82" s="51" t="s">
        <v>492</v>
      </c>
      <c r="H82" s="51">
        <v>22000</v>
      </c>
    </row>
    <row r="83" spans="1:8" hidden="1" outlineLevel="3" x14ac:dyDescent="0.25">
      <c r="A83" s="51">
        <v>171</v>
      </c>
      <c r="B83" s="51" t="s">
        <v>505</v>
      </c>
      <c r="C83" s="51" t="s">
        <v>543</v>
      </c>
      <c r="D83" s="51" t="s">
        <v>572</v>
      </c>
      <c r="E83" s="51">
        <v>600213</v>
      </c>
      <c r="F83" s="51" t="s">
        <v>573</v>
      </c>
      <c r="G83" s="51" t="s">
        <v>492</v>
      </c>
      <c r="H83" s="51">
        <v>21000</v>
      </c>
    </row>
    <row r="84" spans="1:8" hidden="1" outlineLevel="3" x14ac:dyDescent="0.25">
      <c r="A84" s="51">
        <v>177</v>
      </c>
      <c r="B84" s="51" t="s">
        <v>686</v>
      </c>
      <c r="C84" s="51" t="s">
        <v>765</v>
      </c>
      <c r="D84" s="51" t="s">
        <v>766</v>
      </c>
      <c r="E84" s="51">
        <v>710101</v>
      </c>
      <c r="F84" s="51" t="s">
        <v>767</v>
      </c>
      <c r="G84" s="51" t="s">
        <v>492</v>
      </c>
      <c r="H84" s="51">
        <v>14500</v>
      </c>
    </row>
    <row r="85" spans="1:8" hidden="1" outlineLevel="3" x14ac:dyDescent="0.25">
      <c r="A85" s="51">
        <v>183</v>
      </c>
      <c r="B85" s="51" t="s">
        <v>455</v>
      </c>
      <c r="C85" s="51" t="s">
        <v>496</v>
      </c>
      <c r="D85" s="51" t="s">
        <v>497</v>
      </c>
      <c r="E85" s="51">
        <v>500401</v>
      </c>
      <c r="F85" s="51" t="s">
        <v>498</v>
      </c>
      <c r="G85" s="51" t="s">
        <v>492</v>
      </c>
      <c r="H85" s="51">
        <v>19000</v>
      </c>
    </row>
    <row r="86" spans="1:8" hidden="1" outlineLevel="3" x14ac:dyDescent="0.25">
      <c r="A86" s="51">
        <v>184</v>
      </c>
      <c r="B86" s="51" t="s">
        <v>418</v>
      </c>
      <c r="C86" s="51" t="s">
        <v>664</v>
      </c>
      <c r="D86" s="51" t="s">
        <v>574</v>
      </c>
      <c r="E86" s="51">
        <v>660226</v>
      </c>
      <c r="F86" s="51" t="s">
        <v>665</v>
      </c>
      <c r="G86" s="51" t="s">
        <v>492</v>
      </c>
      <c r="H86" s="51">
        <v>20000</v>
      </c>
    </row>
    <row r="87" spans="1:8" hidden="1" outlineLevel="3" x14ac:dyDescent="0.25">
      <c r="A87" s="51">
        <v>185</v>
      </c>
      <c r="B87" s="51" t="s">
        <v>418</v>
      </c>
      <c r="C87" s="51" t="s">
        <v>666</v>
      </c>
      <c r="D87" s="51" t="s">
        <v>667</v>
      </c>
      <c r="E87" s="51">
        <v>720404</v>
      </c>
      <c r="F87" s="51" t="s">
        <v>668</v>
      </c>
      <c r="G87" s="51" t="s">
        <v>492</v>
      </c>
      <c r="H87" s="51">
        <v>20000</v>
      </c>
    </row>
    <row r="88" spans="1:8" hidden="1" outlineLevel="3" x14ac:dyDescent="0.25">
      <c r="A88" s="51">
        <v>186</v>
      </c>
      <c r="B88" s="51" t="s">
        <v>505</v>
      </c>
      <c r="C88" s="51" t="s">
        <v>509</v>
      </c>
      <c r="D88" s="51" t="s">
        <v>574</v>
      </c>
      <c r="E88" s="51">
        <v>710101</v>
      </c>
      <c r="F88" s="51" t="s">
        <v>575</v>
      </c>
      <c r="G88" s="51" t="s">
        <v>492</v>
      </c>
      <c r="H88" s="51">
        <v>20000</v>
      </c>
    </row>
    <row r="89" spans="1:8" hidden="1" outlineLevel="3" x14ac:dyDescent="0.25">
      <c r="A89" s="51">
        <v>188</v>
      </c>
      <c r="B89" s="51" t="s">
        <v>505</v>
      </c>
      <c r="C89" s="51" t="s">
        <v>576</v>
      </c>
      <c r="D89" s="51" t="s">
        <v>577</v>
      </c>
      <c r="E89" s="51">
        <v>690823</v>
      </c>
      <c r="F89" s="51" t="s">
        <v>578</v>
      </c>
      <c r="G89" s="51" t="s">
        <v>492</v>
      </c>
      <c r="H89" s="51">
        <v>17500</v>
      </c>
    </row>
    <row r="90" spans="1:8" hidden="1" outlineLevel="3" x14ac:dyDescent="0.25">
      <c r="A90" s="51">
        <v>189</v>
      </c>
      <c r="B90" s="51" t="s">
        <v>505</v>
      </c>
      <c r="C90" s="51" t="s">
        <v>579</v>
      </c>
      <c r="D90" s="51" t="s">
        <v>580</v>
      </c>
      <c r="E90" s="51">
        <v>590620</v>
      </c>
      <c r="F90" s="51" t="s">
        <v>581</v>
      </c>
      <c r="G90" s="51" t="s">
        <v>492</v>
      </c>
      <c r="H90" s="51">
        <v>19000</v>
      </c>
    </row>
    <row r="91" spans="1:8" hidden="1" outlineLevel="3" x14ac:dyDescent="0.25">
      <c r="A91" s="51">
        <v>191</v>
      </c>
      <c r="B91" s="51" t="s">
        <v>505</v>
      </c>
      <c r="C91" s="51" t="s">
        <v>582</v>
      </c>
      <c r="D91" s="51" t="s">
        <v>583</v>
      </c>
      <c r="E91" s="51">
        <v>690526</v>
      </c>
      <c r="F91" s="51" t="s">
        <v>584</v>
      </c>
      <c r="G91" s="51" t="s">
        <v>492</v>
      </c>
      <c r="H91" s="51">
        <v>19500</v>
      </c>
    </row>
    <row r="92" spans="1:8" hidden="1" outlineLevel="3" x14ac:dyDescent="0.25">
      <c r="A92" s="51">
        <v>192</v>
      </c>
      <c r="B92" s="51" t="s">
        <v>505</v>
      </c>
      <c r="C92" s="51" t="s">
        <v>585</v>
      </c>
      <c r="D92" s="51" t="s">
        <v>586</v>
      </c>
      <c r="E92" s="51">
        <v>750403</v>
      </c>
      <c r="F92" s="51" t="s">
        <v>587</v>
      </c>
      <c r="G92" s="51" t="s">
        <v>492</v>
      </c>
      <c r="H92" s="51">
        <v>16500</v>
      </c>
    </row>
    <row r="93" spans="1:8" hidden="1" outlineLevel="3" x14ac:dyDescent="0.25">
      <c r="A93" s="51">
        <v>194</v>
      </c>
      <c r="B93" s="51" t="s">
        <v>418</v>
      </c>
      <c r="C93" s="51" t="s">
        <v>669</v>
      </c>
      <c r="D93" s="51" t="s">
        <v>670</v>
      </c>
      <c r="E93" s="51">
        <v>780506</v>
      </c>
      <c r="F93" s="51" t="s">
        <v>671</v>
      </c>
      <c r="G93" s="51" t="s">
        <v>492</v>
      </c>
      <c r="H93" s="51">
        <v>16500</v>
      </c>
    </row>
    <row r="94" spans="1:8" hidden="1" outlineLevel="3" x14ac:dyDescent="0.25">
      <c r="A94" s="51">
        <v>195</v>
      </c>
      <c r="B94" s="51" t="s">
        <v>675</v>
      </c>
      <c r="C94" s="51" t="s">
        <v>683</v>
      </c>
      <c r="D94" s="51" t="s">
        <v>684</v>
      </c>
      <c r="E94" s="51">
        <v>770412</v>
      </c>
      <c r="F94" s="51" t="s">
        <v>685</v>
      </c>
      <c r="G94" s="51" t="s">
        <v>492</v>
      </c>
      <c r="H94" s="51">
        <v>22000</v>
      </c>
    </row>
    <row r="95" spans="1:8" hidden="1" outlineLevel="3" x14ac:dyDescent="0.25">
      <c r="A95" s="51">
        <v>196</v>
      </c>
      <c r="B95" s="51" t="s">
        <v>455</v>
      </c>
      <c r="C95" s="51" t="s">
        <v>499</v>
      </c>
      <c r="D95" s="51" t="s">
        <v>500</v>
      </c>
      <c r="E95" s="51">
        <v>660520</v>
      </c>
      <c r="F95" s="51" t="s">
        <v>501</v>
      </c>
      <c r="G95" s="51" t="s">
        <v>492</v>
      </c>
      <c r="H95" s="51">
        <v>20000</v>
      </c>
    </row>
    <row r="96" spans="1:8" hidden="1" outlineLevel="3" x14ac:dyDescent="0.25">
      <c r="A96" s="51">
        <v>198</v>
      </c>
      <c r="B96" s="51" t="s">
        <v>686</v>
      </c>
      <c r="C96" s="51" t="s">
        <v>768</v>
      </c>
      <c r="D96" s="51" t="s">
        <v>769</v>
      </c>
      <c r="E96" s="51">
        <v>810429</v>
      </c>
      <c r="F96" s="51" t="s">
        <v>770</v>
      </c>
      <c r="G96" s="51" t="s">
        <v>492</v>
      </c>
      <c r="H96" s="51">
        <v>15000</v>
      </c>
    </row>
    <row r="97" spans="1:8" hidden="1" outlineLevel="3" x14ac:dyDescent="0.25">
      <c r="A97" s="51">
        <v>201</v>
      </c>
      <c r="B97" s="51" t="s">
        <v>686</v>
      </c>
      <c r="C97" s="51" t="s">
        <v>771</v>
      </c>
      <c r="D97" s="51" t="s">
        <v>772</v>
      </c>
      <c r="E97" s="51">
        <v>650412</v>
      </c>
      <c r="F97" s="51" t="s">
        <v>773</v>
      </c>
      <c r="G97" s="51" t="s">
        <v>492</v>
      </c>
      <c r="H97" s="51">
        <v>18500</v>
      </c>
    </row>
    <row r="98" spans="1:8" hidden="1" outlineLevel="3" x14ac:dyDescent="0.25">
      <c r="A98" s="51">
        <v>203</v>
      </c>
      <c r="B98" s="51" t="s">
        <v>686</v>
      </c>
      <c r="C98" s="51" t="s">
        <v>697</v>
      </c>
      <c r="D98" s="51" t="s">
        <v>670</v>
      </c>
      <c r="E98" s="51">
        <v>710829</v>
      </c>
      <c r="F98" s="51" t="s">
        <v>774</v>
      </c>
      <c r="G98" s="51" t="s">
        <v>492</v>
      </c>
      <c r="H98" s="51">
        <v>19900</v>
      </c>
    </row>
    <row r="99" spans="1:8" hidden="1" outlineLevel="3" x14ac:dyDescent="0.25">
      <c r="A99" s="51">
        <v>209</v>
      </c>
      <c r="B99" s="51" t="s">
        <v>505</v>
      </c>
      <c r="C99" s="51" t="s">
        <v>588</v>
      </c>
      <c r="D99" s="51" t="s">
        <v>589</v>
      </c>
      <c r="E99" s="51">
        <v>800527</v>
      </c>
      <c r="F99" s="51" t="s">
        <v>590</v>
      </c>
      <c r="G99" s="51" t="s">
        <v>492</v>
      </c>
      <c r="H99" s="51">
        <v>19500</v>
      </c>
    </row>
    <row r="100" spans="1:8" hidden="1" outlineLevel="3" x14ac:dyDescent="0.25">
      <c r="A100" s="51">
        <v>210</v>
      </c>
      <c r="B100" s="51" t="s">
        <v>505</v>
      </c>
      <c r="C100" s="51" t="s">
        <v>591</v>
      </c>
      <c r="D100" s="51" t="s">
        <v>592</v>
      </c>
      <c r="E100" s="51">
        <v>810526</v>
      </c>
      <c r="F100" s="51" t="s">
        <v>593</v>
      </c>
      <c r="G100" s="51" t="s">
        <v>492</v>
      </c>
      <c r="H100" s="51">
        <v>19000</v>
      </c>
    </row>
    <row r="101" spans="1:8" hidden="1" outlineLevel="3" x14ac:dyDescent="0.25">
      <c r="A101" s="51">
        <v>211</v>
      </c>
      <c r="B101" s="51" t="s">
        <v>505</v>
      </c>
      <c r="C101" s="51" t="s">
        <v>594</v>
      </c>
      <c r="D101" s="51" t="s">
        <v>595</v>
      </c>
      <c r="E101" s="51">
        <v>830205</v>
      </c>
      <c r="F101" s="51" t="s">
        <v>596</v>
      </c>
      <c r="G101" s="51" t="s">
        <v>492</v>
      </c>
      <c r="H101" s="51">
        <v>19000</v>
      </c>
    </row>
    <row r="102" spans="1:8" hidden="1" outlineLevel="3" x14ac:dyDescent="0.25">
      <c r="A102" s="51">
        <v>212</v>
      </c>
      <c r="B102" s="51" t="s">
        <v>505</v>
      </c>
      <c r="C102" s="51" t="s">
        <v>597</v>
      </c>
      <c r="D102" s="51" t="s">
        <v>497</v>
      </c>
      <c r="E102" s="51">
        <v>800129</v>
      </c>
      <c r="F102" s="51" t="s">
        <v>598</v>
      </c>
      <c r="G102" s="51" t="s">
        <v>492</v>
      </c>
      <c r="H102" s="51">
        <v>17500</v>
      </c>
    </row>
    <row r="103" spans="1:8" hidden="1" outlineLevel="3" x14ac:dyDescent="0.25">
      <c r="A103" s="51">
        <v>213</v>
      </c>
      <c r="B103" s="51" t="s">
        <v>686</v>
      </c>
      <c r="C103" s="51" t="s">
        <v>775</v>
      </c>
      <c r="D103" s="51" t="s">
        <v>776</v>
      </c>
      <c r="E103" s="51">
        <v>790829</v>
      </c>
      <c r="F103" s="51" t="s">
        <v>777</v>
      </c>
      <c r="G103" s="51" t="s">
        <v>492</v>
      </c>
      <c r="H103" s="51">
        <v>15000</v>
      </c>
    </row>
    <row r="104" spans="1:8" hidden="1" outlineLevel="3" x14ac:dyDescent="0.25">
      <c r="A104" s="51">
        <v>214</v>
      </c>
      <c r="B104" s="51" t="s">
        <v>505</v>
      </c>
      <c r="C104" s="51" t="s">
        <v>599</v>
      </c>
      <c r="D104" s="51" t="s">
        <v>600</v>
      </c>
      <c r="E104" s="51">
        <v>750429</v>
      </c>
      <c r="F104" s="51" t="s">
        <v>601</v>
      </c>
      <c r="G104" s="51" t="s">
        <v>492</v>
      </c>
      <c r="H104" s="51">
        <v>19500</v>
      </c>
    </row>
    <row r="105" spans="1:8" hidden="1" outlineLevel="3" x14ac:dyDescent="0.25">
      <c r="A105" s="51">
        <v>215</v>
      </c>
      <c r="B105" s="51" t="s">
        <v>505</v>
      </c>
      <c r="C105" s="51" t="s">
        <v>602</v>
      </c>
      <c r="D105" s="51" t="s">
        <v>603</v>
      </c>
      <c r="E105" s="51">
        <v>800120</v>
      </c>
      <c r="F105" s="51" t="s">
        <v>604</v>
      </c>
      <c r="G105" s="51" t="s">
        <v>492</v>
      </c>
      <c r="H105" s="51">
        <v>15500</v>
      </c>
    </row>
    <row r="106" spans="1:8" hidden="1" outlineLevel="3" x14ac:dyDescent="0.25">
      <c r="A106" s="51">
        <v>216</v>
      </c>
      <c r="B106" s="51" t="s">
        <v>505</v>
      </c>
      <c r="C106" s="51" t="s">
        <v>605</v>
      </c>
      <c r="D106" s="51" t="s">
        <v>606</v>
      </c>
      <c r="E106" s="51">
        <v>820114</v>
      </c>
      <c r="F106" s="51" t="s">
        <v>607</v>
      </c>
      <c r="G106" s="51" t="s">
        <v>492</v>
      </c>
      <c r="H106" s="51">
        <v>17000</v>
      </c>
    </row>
    <row r="107" spans="1:8" hidden="1" outlineLevel="3" x14ac:dyDescent="0.25">
      <c r="A107" s="51">
        <v>217</v>
      </c>
      <c r="B107" s="51" t="s">
        <v>455</v>
      </c>
      <c r="C107" s="51" t="s">
        <v>502</v>
      </c>
      <c r="D107" s="51" t="s">
        <v>503</v>
      </c>
      <c r="E107" s="51">
        <v>690415</v>
      </c>
      <c r="F107" s="51" t="s">
        <v>504</v>
      </c>
      <c r="G107" s="51" t="s">
        <v>492</v>
      </c>
      <c r="H107" s="51">
        <v>19000</v>
      </c>
    </row>
    <row r="108" spans="1:8" hidden="1" outlineLevel="3" x14ac:dyDescent="0.25">
      <c r="A108" s="51">
        <v>218</v>
      </c>
      <c r="B108" s="51" t="s">
        <v>505</v>
      </c>
      <c r="C108" s="51" t="s">
        <v>608</v>
      </c>
      <c r="D108" s="51" t="s">
        <v>609</v>
      </c>
      <c r="E108" s="51">
        <v>830502</v>
      </c>
      <c r="F108" s="51" t="s">
        <v>610</v>
      </c>
      <c r="G108" s="51" t="s">
        <v>492</v>
      </c>
      <c r="H108" s="51">
        <v>20000</v>
      </c>
    </row>
    <row r="109" spans="1:8" hidden="1" outlineLevel="3" x14ac:dyDescent="0.25">
      <c r="A109" s="51">
        <v>221</v>
      </c>
      <c r="B109" s="51" t="s">
        <v>418</v>
      </c>
      <c r="C109" s="51" t="s">
        <v>672</v>
      </c>
      <c r="D109" s="51" t="s">
        <v>673</v>
      </c>
      <c r="E109" s="51">
        <v>541120</v>
      </c>
      <c r="F109" s="51" t="s">
        <v>674</v>
      </c>
      <c r="G109" s="51" t="s">
        <v>492</v>
      </c>
      <c r="H109" s="51">
        <v>19000</v>
      </c>
    </row>
    <row r="110" spans="1:8" hidden="1" outlineLevel="3" x14ac:dyDescent="0.25">
      <c r="A110" s="51">
        <v>222</v>
      </c>
      <c r="B110" s="51" t="s">
        <v>505</v>
      </c>
      <c r="C110" s="51" t="s">
        <v>611</v>
      </c>
      <c r="D110" s="51" t="s">
        <v>612</v>
      </c>
      <c r="E110" s="51">
        <v>610215</v>
      </c>
      <c r="F110" s="51" t="s">
        <v>613</v>
      </c>
      <c r="G110" s="51" t="s">
        <v>492</v>
      </c>
      <c r="H110" s="51">
        <v>17500</v>
      </c>
    </row>
    <row r="111" spans="1:8" hidden="1" outlineLevel="3" x14ac:dyDescent="0.25">
      <c r="A111" s="51">
        <v>223</v>
      </c>
      <c r="B111" s="51" t="s">
        <v>505</v>
      </c>
      <c r="C111" s="51" t="s">
        <v>614</v>
      </c>
      <c r="D111" s="51" t="s">
        <v>615</v>
      </c>
      <c r="E111" s="51">
        <v>590820</v>
      </c>
      <c r="F111" s="51" t="s">
        <v>616</v>
      </c>
      <c r="G111" s="51" t="s">
        <v>492</v>
      </c>
      <c r="H111" s="51">
        <v>18000</v>
      </c>
    </row>
    <row r="112" spans="1:8" hidden="1" outlineLevel="3" x14ac:dyDescent="0.25">
      <c r="A112" s="51">
        <v>224</v>
      </c>
      <c r="B112" s="51" t="s">
        <v>505</v>
      </c>
      <c r="C112" s="51" t="s">
        <v>617</v>
      </c>
      <c r="D112" s="51" t="s">
        <v>618</v>
      </c>
      <c r="E112" s="51">
        <v>600215</v>
      </c>
      <c r="F112" s="51" t="s">
        <v>619</v>
      </c>
      <c r="G112" s="51" t="s">
        <v>492</v>
      </c>
      <c r="H112" s="51">
        <v>18000</v>
      </c>
    </row>
    <row r="113" spans="1:8" hidden="1" outlineLevel="3" x14ac:dyDescent="0.25">
      <c r="A113" s="51">
        <v>225</v>
      </c>
      <c r="B113" s="51" t="s">
        <v>505</v>
      </c>
      <c r="C113" s="51" t="s">
        <v>620</v>
      </c>
      <c r="D113" s="51" t="s">
        <v>621</v>
      </c>
      <c r="E113" s="51">
        <v>560514</v>
      </c>
      <c r="F113" s="51" t="s">
        <v>622</v>
      </c>
      <c r="G113" s="51" t="s">
        <v>492</v>
      </c>
      <c r="H113" s="51">
        <v>21000</v>
      </c>
    </row>
    <row r="114" spans="1:8" hidden="1" outlineLevel="3" x14ac:dyDescent="0.25">
      <c r="A114" s="51">
        <v>230</v>
      </c>
      <c r="B114" s="51" t="s">
        <v>505</v>
      </c>
      <c r="C114" s="51" t="s">
        <v>623</v>
      </c>
      <c r="D114" s="51" t="s">
        <v>624</v>
      </c>
      <c r="E114" s="51">
        <v>810506</v>
      </c>
      <c r="F114" s="51" t="s">
        <v>625</v>
      </c>
      <c r="G114" s="51" t="s">
        <v>492</v>
      </c>
      <c r="H114" s="51">
        <v>16500</v>
      </c>
    </row>
    <row r="115" spans="1:8" hidden="1" outlineLevel="3" x14ac:dyDescent="0.25">
      <c r="A115" s="51">
        <v>231</v>
      </c>
      <c r="B115" s="51" t="s">
        <v>505</v>
      </c>
      <c r="C115" s="51" t="s">
        <v>626</v>
      </c>
      <c r="D115" s="51" t="s">
        <v>627</v>
      </c>
      <c r="E115" s="51">
        <v>740121</v>
      </c>
      <c r="F115" s="51" t="s">
        <v>628</v>
      </c>
      <c r="G115" s="51" t="s">
        <v>492</v>
      </c>
      <c r="H115" s="51">
        <v>19000</v>
      </c>
    </row>
    <row r="116" spans="1:8" hidden="1" outlineLevel="3" x14ac:dyDescent="0.25">
      <c r="A116" s="51">
        <v>232</v>
      </c>
      <c r="B116" s="51" t="s">
        <v>505</v>
      </c>
      <c r="C116" s="51" t="s">
        <v>629</v>
      </c>
      <c r="D116" s="51" t="s">
        <v>630</v>
      </c>
      <c r="E116" s="51">
        <v>750621</v>
      </c>
      <c r="F116" s="51" t="s">
        <v>631</v>
      </c>
      <c r="G116" s="51" t="s">
        <v>492</v>
      </c>
      <c r="H116" s="51">
        <v>17000</v>
      </c>
    </row>
    <row r="117" spans="1:8" hidden="1" outlineLevel="3" x14ac:dyDescent="0.25">
      <c r="A117" s="51">
        <v>233</v>
      </c>
      <c r="B117" s="51" t="s">
        <v>505</v>
      </c>
      <c r="C117" s="51" t="s">
        <v>632</v>
      </c>
      <c r="D117" s="51" t="s">
        <v>633</v>
      </c>
      <c r="E117" s="51">
        <v>700531</v>
      </c>
      <c r="F117" s="51" t="s">
        <v>634</v>
      </c>
      <c r="G117" s="51" t="s">
        <v>492</v>
      </c>
      <c r="H117" s="51">
        <v>16000</v>
      </c>
    </row>
    <row r="118" spans="1:8" hidden="1" outlineLevel="3" x14ac:dyDescent="0.25">
      <c r="A118" s="51">
        <v>234</v>
      </c>
      <c r="B118" s="51" t="s">
        <v>505</v>
      </c>
      <c r="C118" s="51" t="s">
        <v>635</v>
      </c>
      <c r="D118" s="51" t="s">
        <v>636</v>
      </c>
      <c r="E118" s="51">
        <v>660520</v>
      </c>
      <c r="F118" s="51" t="s">
        <v>637</v>
      </c>
      <c r="G118" s="51" t="s">
        <v>492</v>
      </c>
      <c r="H118" s="51">
        <v>16000</v>
      </c>
    </row>
    <row r="119" spans="1:8" outlineLevel="2" collapsed="1" x14ac:dyDescent="0.25">
      <c r="G119" s="69" t="s">
        <v>784</v>
      </c>
      <c r="H119" s="51">
        <f>SUBTOTAL(1,H57:H118)</f>
        <v>18079.032258064515</v>
      </c>
    </row>
    <row r="120" spans="1:8" outlineLevel="1" x14ac:dyDescent="0.25">
      <c r="G120" s="69" t="s">
        <v>780</v>
      </c>
      <c r="H120" s="51">
        <f>SUBTOTAL(9,H57:H118)</f>
        <v>1120900</v>
      </c>
    </row>
    <row r="121" spans="1:8" x14ac:dyDescent="0.25">
      <c r="G121" s="69" t="s">
        <v>785</v>
      </c>
      <c r="H121" s="51">
        <f>SUBTOTAL(1,H2:H118)</f>
        <v>18023.008849557522</v>
      </c>
    </row>
    <row r="122" spans="1:8" x14ac:dyDescent="0.25">
      <c r="G122" s="69" t="s">
        <v>781</v>
      </c>
      <c r="H122" s="51">
        <f>SUBTOTAL(9,H2:H118)</f>
        <v>2036600</v>
      </c>
    </row>
  </sheetData>
  <sortState xmlns:xlrd2="http://schemas.microsoft.com/office/spreadsheetml/2017/richdata2" ref="A2:H118">
    <sortCondition ref="G4:G118"/>
  </sortState>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6" filterMode="1"/>
  <dimension ref="A1:H118"/>
  <sheetViews>
    <sheetView workbookViewId="0">
      <selection activeCell="H1" sqref="H1"/>
    </sheetView>
  </sheetViews>
  <sheetFormatPr defaultColWidth="9.140625" defaultRowHeight="23.25" x14ac:dyDescent="0.35"/>
  <cols>
    <col min="1" max="1" width="14.5703125" style="55" bestFit="1" customWidth="1"/>
    <col min="2" max="2" width="23.7109375" style="55" bestFit="1" customWidth="1"/>
    <col min="3" max="3" width="20" style="55" bestFit="1" customWidth="1"/>
    <col min="4" max="4" width="25" style="55" bestFit="1" customWidth="1"/>
    <col min="5" max="5" width="16.7109375" style="55" bestFit="1" customWidth="1"/>
    <col min="6" max="6" width="37.7109375" style="55" bestFit="1" customWidth="1"/>
    <col min="7" max="7" width="18.28515625" style="55" bestFit="1" customWidth="1"/>
    <col min="8" max="8" width="20" style="55" bestFit="1" customWidth="1"/>
    <col min="9" max="16384" width="9.140625" style="50"/>
  </cols>
  <sheetData>
    <row r="1" spans="1:8" x14ac:dyDescent="0.35">
      <c r="G1" s="55" t="s">
        <v>786</v>
      </c>
      <c r="H1" s="55">
        <f>SUM(H6:H1048576)</f>
        <v>2036600</v>
      </c>
    </row>
    <row r="2" spans="1:8" x14ac:dyDescent="0.35">
      <c r="G2" s="55" t="s">
        <v>787</v>
      </c>
      <c r="H2" s="55">
        <f>SUBTOTAL(109,H6:H1048576)</f>
        <v>528200</v>
      </c>
    </row>
    <row r="3" spans="1:8" x14ac:dyDescent="0.35">
      <c r="G3" s="55" t="s">
        <v>788</v>
      </c>
      <c r="H3" s="70">
        <f>H2/H1</f>
        <v>0.25935382500245507</v>
      </c>
    </row>
    <row r="5" spans="1:8" s="49" customFormat="1" x14ac:dyDescent="0.35">
      <c r="A5" s="56" t="s">
        <v>447</v>
      </c>
      <c r="B5" s="56" t="s">
        <v>448</v>
      </c>
      <c r="C5" s="56" t="s">
        <v>449</v>
      </c>
      <c r="D5" s="56" t="s">
        <v>450</v>
      </c>
      <c r="E5" s="56" t="s">
        <v>451</v>
      </c>
      <c r="F5" s="56" t="s">
        <v>452</v>
      </c>
      <c r="G5" s="56" t="s">
        <v>453</v>
      </c>
      <c r="H5" s="56" t="s">
        <v>454</v>
      </c>
    </row>
    <row r="6" spans="1:8" hidden="1" x14ac:dyDescent="0.35">
      <c r="A6" s="55">
        <v>123</v>
      </c>
      <c r="B6" s="55" t="s">
        <v>418</v>
      </c>
      <c r="C6" s="55" t="s">
        <v>608</v>
      </c>
      <c r="D6" s="55" t="s">
        <v>646</v>
      </c>
      <c r="E6" s="55">
        <v>750312</v>
      </c>
      <c r="F6" s="55" t="s">
        <v>647</v>
      </c>
      <c r="G6" s="55" t="s">
        <v>492</v>
      </c>
      <c r="H6" s="55">
        <v>22000</v>
      </c>
    </row>
    <row r="7" spans="1:8" x14ac:dyDescent="0.35">
      <c r="A7" s="55">
        <v>124</v>
      </c>
      <c r="B7" s="55" t="s">
        <v>418</v>
      </c>
      <c r="C7" s="55" t="s">
        <v>546</v>
      </c>
      <c r="D7" s="55" t="s">
        <v>638</v>
      </c>
      <c r="E7" s="55">
        <v>541202</v>
      </c>
      <c r="F7" s="55" t="s">
        <v>639</v>
      </c>
      <c r="G7" s="55" t="s">
        <v>458</v>
      </c>
      <c r="H7" s="55">
        <v>23000</v>
      </c>
    </row>
    <row r="8" spans="1:8" hidden="1" x14ac:dyDescent="0.35">
      <c r="A8" s="55">
        <v>125</v>
      </c>
      <c r="B8" s="55" t="s">
        <v>686</v>
      </c>
      <c r="C8" s="55" t="s">
        <v>717</v>
      </c>
      <c r="D8" s="55" t="s">
        <v>718</v>
      </c>
      <c r="E8" s="55">
        <v>430520</v>
      </c>
      <c r="F8" s="55" t="s">
        <v>719</v>
      </c>
      <c r="G8" s="55" t="s">
        <v>477</v>
      </c>
      <c r="H8" s="55">
        <v>18000</v>
      </c>
    </row>
    <row r="9" spans="1:8" hidden="1" x14ac:dyDescent="0.35">
      <c r="A9" s="55">
        <v>126</v>
      </c>
      <c r="B9" s="55" t="s">
        <v>686</v>
      </c>
      <c r="C9" s="55" t="s">
        <v>735</v>
      </c>
      <c r="D9" s="55" t="s">
        <v>736</v>
      </c>
      <c r="E9" s="55">
        <v>770624</v>
      </c>
      <c r="F9" s="55" t="s">
        <v>737</v>
      </c>
      <c r="G9" s="55" t="s">
        <v>492</v>
      </c>
      <c r="H9" s="55">
        <v>15500</v>
      </c>
    </row>
    <row r="10" spans="1:8" x14ac:dyDescent="0.35">
      <c r="A10" s="55">
        <v>127</v>
      </c>
      <c r="B10" s="55" t="s">
        <v>686</v>
      </c>
      <c r="C10" s="55" t="s">
        <v>687</v>
      </c>
      <c r="D10" s="55" t="s">
        <v>688</v>
      </c>
      <c r="E10" s="55">
        <v>710223</v>
      </c>
      <c r="F10" s="55" t="s">
        <v>689</v>
      </c>
      <c r="G10" s="55" t="s">
        <v>458</v>
      </c>
      <c r="H10" s="55">
        <v>17700</v>
      </c>
    </row>
    <row r="11" spans="1:8" x14ac:dyDescent="0.35">
      <c r="A11" s="55">
        <v>128</v>
      </c>
      <c r="B11" s="55" t="s">
        <v>686</v>
      </c>
      <c r="C11" s="55" t="s">
        <v>690</v>
      </c>
      <c r="D11" s="55" t="s">
        <v>691</v>
      </c>
      <c r="E11" s="55">
        <v>800101</v>
      </c>
      <c r="F11" s="55" t="s">
        <v>692</v>
      </c>
      <c r="G11" s="55" t="s">
        <v>458</v>
      </c>
      <c r="H11" s="55">
        <v>17500</v>
      </c>
    </row>
    <row r="12" spans="1:8" x14ac:dyDescent="0.35">
      <c r="A12" s="55">
        <v>129</v>
      </c>
      <c r="B12" s="55" t="s">
        <v>505</v>
      </c>
      <c r="C12" s="55" t="s">
        <v>506</v>
      </c>
      <c r="D12" s="55" t="s">
        <v>507</v>
      </c>
      <c r="E12" s="55">
        <v>550623</v>
      </c>
      <c r="F12" s="55" t="s">
        <v>508</v>
      </c>
      <c r="G12" s="55" t="s">
        <v>458</v>
      </c>
      <c r="H12" s="55">
        <v>17500</v>
      </c>
    </row>
    <row r="13" spans="1:8" hidden="1" x14ac:dyDescent="0.35">
      <c r="A13" s="55">
        <v>130</v>
      </c>
      <c r="B13" s="55" t="s">
        <v>505</v>
      </c>
      <c r="C13" s="55" t="s">
        <v>496</v>
      </c>
      <c r="D13" s="55" t="s">
        <v>531</v>
      </c>
      <c r="E13" s="55">
        <v>690605</v>
      </c>
      <c r="F13" s="55" t="s">
        <v>532</v>
      </c>
      <c r="G13" s="55" t="s">
        <v>477</v>
      </c>
      <c r="H13" s="55">
        <v>17500</v>
      </c>
    </row>
    <row r="14" spans="1:8" hidden="1" x14ac:dyDescent="0.35">
      <c r="A14" s="55">
        <v>131</v>
      </c>
      <c r="B14" s="55" t="s">
        <v>418</v>
      </c>
      <c r="C14" s="55" t="s">
        <v>640</v>
      </c>
      <c r="D14" s="55" t="s">
        <v>641</v>
      </c>
      <c r="E14" s="55">
        <v>600213</v>
      </c>
      <c r="F14" s="55" t="s">
        <v>642</v>
      </c>
      <c r="G14" s="55" t="s">
        <v>477</v>
      </c>
      <c r="H14" s="55">
        <v>20000</v>
      </c>
    </row>
    <row r="15" spans="1:8" hidden="1" x14ac:dyDescent="0.35">
      <c r="A15" s="55">
        <v>132</v>
      </c>
      <c r="B15" s="55" t="s">
        <v>418</v>
      </c>
      <c r="C15" s="55" t="s">
        <v>481</v>
      </c>
      <c r="D15" s="55" t="s">
        <v>648</v>
      </c>
      <c r="E15" s="55">
        <v>780402</v>
      </c>
      <c r="F15" s="55" t="s">
        <v>649</v>
      </c>
      <c r="G15" s="55" t="s">
        <v>492</v>
      </c>
      <c r="H15" s="55">
        <v>21000</v>
      </c>
    </row>
    <row r="16" spans="1:8" hidden="1" x14ac:dyDescent="0.35">
      <c r="A16" s="55">
        <v>133</v>
      </c>
      <c r="B16" s="55" t="s">
        <v>505</v>
      </c>
      <c r="C16" s="55" t="s">
        <v>520</v>
      </c>
      <c r="D16" s="55" t="s">
        <v>555</v>
      </c>
      <c r="E16" s="55">
        <v>750630</v>
      </c>
      <c r="F16" s="55" t="s">
        <v>556</v>
      </c>
      <c r="G16" s="55" t="s">
        <v>492</v>
      </c>
      <c r="H16" s="55">
        <v>17500</v>
      </c>
    </row>
    <row r="17" spans="1:8" hidden="1" x14ac:dyDescent="0.35">
      <c r="A17" s="55">
        <v>134</v>
      </c>
      <c r="B17" s="55" t="s">
        <v>686</v>
      </c>
      <c r="C17" s="55" t="s">
        <v>738</v>
      </c>
      <c r="D17" s="55" t="s">
        <v>739</v>
      </c>
      <c r="E17" s="55">
        <v>550409</v>
      </c>
      <c r="F17" s="55" t="s">
        <v>740</v>
      </c>
      <c r="G17" s="55" t="s">
        <v>492</v>
      </c>
      <c r="H17" s="55">
        <v>15500</v>
      </c>
    </row>
    <row r="18" spans="1:8" hidden="1" x14ac:dyDescent="0.35">
      <c r="A18" s="55">
        <v>135</v>
      </c>
      <c r="B18" s="55" t="s">
        <v>686</v>
      </c>
      <c r="C18" s="55" t="s">
        <v>741</v>
      </c>
      <c r="D18" s="55" t="s">
        <v>742</v>
      </c>
      <c r="E18" s="55">
        <v>490625</v>
      </c>
      <c r="F18" s="55" t="s">
        <v>743</v>
      </c>
      <c r="G18" s="55" t="s">
        <v>492</v>
      </c>
      <c r="H18" s="55">
        <v>17500</v>
      </c>
    </row>
    <row r="19" spans="1:8" hidden="1" x14ac:dyDescent="0.35">
      <c r="A19" s="55">
        <v>136</v>
      </c>
      <c r="B19" s="55" t="s">
        <v>686</v>
      </c>
      <c r="C19" s="55" t="s">
        <v>744</v>
      </c>
      <c r="D19" s="55" t="s">
        <v>745</v>
      </c>
      <c r="E19" s="55">
        <v>540116</v>
      </c>
      <c r="F19" s="55" t="s">
        <v>746</v>
      </c>
      <c r="G19" s="55" t="s">
        <v>492</v>
      </c>
      <c r="H19" s="55">
        <v>17000</v>
      </c>
    </row>
    <row r="20" spans="1:8" hidden="1" x14ac:dyDescent="0.35">
      <c r="A20" s="55">
        <v>137</v>
      </c>
      <c r="B20" s="55" t="s">
        <v>686</v>
      </c>
      <c r="C20" s="55" t="s">
        <v>632</v>
      </c>
      <c r="D20" s="55" t="s">
        <v>720</v>
      </c>
      <c r="E20" s="55">
        <v>620405</v>
      </c>
      <c r="F20" s="55" t="s">
        <v>721</v>
      </c>
      <c r="G20" s="55" t="s">
        <v>477</v>
      </c>
      <c r="H20" s="55">
        <v>17000</v>
      </c>
    </row>
    <row r="21" spans="1:8" hidden="1" x14ac:dyDescent="0.35">
      <c r="A21" s="55">
        <v>138</v>
      </c>
      <c r="B21" s="55" t="s">
        <v>505</v>
      </c>
      <c r="C21" s="55" t="s">
        <v>557</v>
      </c>
      <c r="D21" s="55" t="s">
        <v>558</v>
      </c>
      <c r="E21" s="55">
        <v>800527</v>
      </c>
      <c r="F21" s="55" t="s">
        <v>559</v>
      </c>
      <c r="G21" s="55" t="s">
        <v>492</v>
      </c>
      <c r="H21" s="55">
        <v>17000</v>
      </c>
    </row>
    <row r="22" spans="1:8" hidden="1" x14ac:dyDescent="0.35">
      <c r="A22" s="55">
        <v>139</v>
      </c>
      <c r="B22" s="55" t="s">
        <v>505</v>
      </c>
      <c r="C22" s="55" t="s">
        <v>560</v>
      </c>
      <c r="D22" s="55" t="s">
        <v>561</v>
      </c>
      <c r="E22" s="55">
        <v>700508</v>
      </c>
      <c r="F22" s="55" t="s">
        <v>562</v>
      </c>
      <c r="G22" s="55" t="s">
        <v>492</v>
      </c>
      <c r="H22" s="55">
        <v>17500</v>
      </c>
    </row>
    <row r="23" spans="1:8" hidden="1" x14ac:dyDescent="0.35">
      <c r="A23" s="55">
        <v>140</v>
      </c>
      <c r="B23" s="55" t="s">
        <v>505</v>
      </c>
      <c r="C23" s="55" t="s">
        <v>533</v>
      </c>
      <c r="D23" s="55" t="s">
        <v>534</v>
      </c>
      <c r="E23" s="55">
        <v>760408</v>
      </c>
      <c r="F23" s="55" t="s">
        <v>535</v>
      </c>
      <c r="G23" s="55" t="s">
        <v>477</v>
      </c>
      <c r="H23" s="55">
        <v>17500</v>
      </c>
    </row>
    <row r="24" spans="1:8" hidden="1" x14ac:dyDescent="0.35">
      <c r="A24" s="55">
        <v>141</v>
      </c>
      <c r="B24" s="55" t="s">
        <v>505</v>
      </c>
      <c r="C24" s="55" t="s">
        <v>563</v>
      </c>
      <c r="D24" s="55" t="s">
        <v>564</v>
      </c>
      <c r="E24" s="55">
        <v>800525</v>
      </c>
      <c r="F24" s="55" t="s">
        <v>565</v>
      </c>
      <c r="G24" s="55" t="s">
        <v>492</v>
      </c>
      <c r="H24" s="55">
        <v>17000</v>
      </c>
    </row>
    <row r="25" spans="1:8" hidden="1" x14ac:dyDescent="0.35">
      <c r="A25" s="55">
        <v>142</v>
      </c>
      <c r="B25" s="55" t="s">
        <v>686</v>
      </c>
      <c r="C25" s="55" t="s">
        <v>523</v>
      </c>
      <c r="D25" s="55" t="s">
        <v>747</v>
      </c>
      <c r="E25" s="55">
        <v>820612</v>
      </c>
      <c r="F25" s="55" t="s">
        <v>749</v>
      </c>
      <c r="G25" s="55" t="s">
        <v>492</v>
      </c>
      <c r="H25" s="55">
        <v>16000</v>
      </c>
    </row>
    <row r="26" spans="1:8" hidden="1" x14ac:dyDescent="0.35">
      <c r="A26" s="55">
        <v>143</v>
      </c>
      <c r="B26" s="55" t="s">
        <v>686</v>
      </c>
      <c r="C26" s="55" t="s">
        <v>722</v>
      </c>
      <c r="D26" s="55" t="s">
        <v>667</v>
      </c>
      <c r="E26" s="55">
        <v>590430</v>
      </c>
      <c r="F26" s="55" t="s">
        <v>723</v>
      </c>
      <c r="G26" s="55" t="s">
        <v>477</v>
      </c>
      <c r="H26" s="55">
        <v>15000</v>
      </c>
    </row>
    <row r="27" spans="1:8" hidden="1" x14ac:dyDescent="0.35">
      <c r="A27" s="55">
        <v>144</v>
      </c>
      <c r="B27" s="55" t="s">
        <v>686</v>
      </c>
      <c r="C27" s="55" t="s">
        <v>588</v>
      </c>
      <c r="D27" s="55" t="s">
        <v>667</v>
      </c>
      <c r="E27" s="55">
        <v>791224</v>
      </c>
      <c r="F27" s="55" t="s">
        <v>750</v>
      </c>
      <c r="G27" s="55" t="s">
        <v>492</v>
      </c>
      <c r="H27" s="55">
        <v>15500</v>
      </c>
    </row>
    <row r="28" spans="1:8" hidden="1" x14ac:dyDescent="0.35">
      <c r="A28" s="55">
        <v>145</v>
      </c>
      <c r="B28" s="55" t="s">
        <v>686</v>
      </c>
      <c r="C28" s="55" t="s">
        <v>751</v>
      </c>
      <c r="D28" s="55" t="s">
        <v>537</v>
      </c>
      <c r="E28" s="55">
        <v>760504</v>
      </c>
      <c r="F28" s="55" t="s">
        <v>752</v>
      </c>
      <c r="G28" s="55" t="s">
        <v>492</v>
      </c>
      <c r="H28" s="55">
        <v>16000</v>
      </c>
    </row>
    <row r="29" spans="1:8" hidden="1" x14ac:dyDescent="0.35">
      <c r="A29" s="55">
        <v>146</v>
      </c>
      <c r="B29" s="55" t="s">
        <v>505</v>
      </c>
      <c r="C29" s="55" t="s">
        <v>536</v>
      </c>
      <c r="D29" s="55" t="s">
        <v>537</v>
      </c>
      <c r="E29" s="55">
        <v>740203</v>
      </c>
      <c r="F29" s="55" t="s">
        <v>539</v>
      </c>
      <c r="G29" s="55" t="s">
        <v>477</v>
      </c>
      <c r="H29" s="55">
        <v>17000</v>
      </c>
    </row>
    <row r="30" spans="1:8" hidden="1" x14ac:dyDescent="0.35">
      <c r="A30" s="55">
        <v>147</v>
      </c>
      <c r="B30" s="55" t="s">
        <v>418</v>
      </c>
      <c r="C30" s="55" t="s">
        <v>650</v>
      </c>
      <c r="D30" s="55" t="s">
        <v>537</v>
      </c>
      <c r="E30" s="55">
        <v>661111</v>
      </c>
      <c r="F30" s="55" t="s">
        <v>651</v>
      </c>
      <c r="G30" s="55" t="s">
        <v>492</v>
      </c>
      <c r="H30" s="55">
        <v>19500</v>
      </c>
    </row>
    <row r="31" spans="1:8" hidden="1" x14ac:dyDescent="0.35">
      <c r="A31" s="55">
        <v>148</v>
      </c>
      <c r="B31" s="55" t="s">
        <v>418</v>
      </c>
      <c r="C31" s="55" t="s">
        <v>652</v>
      </c>
      <c r="D31" s="55" t="s">
        <v>653</v>
      </c>
      <c r="E31" s="55">
        <v>500203</v>
      </c>
      <c r="F31" s="55" t="s">
        <v>654</v>
      </c>
      <c r="G31" s="55" t="s">
        <v>492</v>
      </c>
      <c r="H31" s="55">
        <v>22000</v>
      </c>
    </row>
    <row r="32" spans="1:8" hidden="1" x14ac:dyDescent="0.35">
      <c r="A32" s="55">
        <v>149</v>
      </c>
      <c r="B32" s="55" t="s">
        <v>505</v>
      </c>
      <c r="C32" s="55" t="s">
        <v>540</v>
      </c>
      <c r="D32" s="55" t="s">
        <v>541</v>
      </c>
      <c r="E32" s="55">
        <v>450508</v>
      </c>
      <c r="F32" s="55" t="s">
        <v>542</v>
      </c>
      <c r="G32" s="55" t="s">
        <v>477</v>
      </c>
      <c r="H32" s="55">
        <v>20000</v>
      </c>
    </row>
    <row r="33" spans="1:8" x14ac:dyDescent="0.35">
      <c r="A33" s="55">
        <v>150</v>
      </c>
      <c r="B33" s="55" t="s">
        <v>505</v>
      </c>
      <c r="C33" s="55" t="s">
        <v>509</v>
      </c>
      <c r="D33" s="55" t="s">
        <v>510</v>
      </c>
      <c r="E33" s="55">
        <v>610205</v>
      </c>
      <c r="F33" s="55" t="s">
        <v>511</v>
      </c>
      <c r="G33" s="55" t="s">
        <v>458</v>
      </c>
      <c r="H33" s="55">
        <v>15000</v>
      </c>
    </row>
    <row r="34" spans="1:8" x14ac:dyDescent="0.35">
      <c r="A34" s="55">
        <v>151</v>
      </c>
      <c r="B34" s="55" t="s">
        <v>686</v>
      </c>
      <c r="C34" s="55" t="s">
        <v>693</v>
      </c>
      <c r="D34" s="55" t="s">
        <v>694</v>
      </c>
      <c r="E34" s="55">
        <v>660809</v>
      </c>
      <c r="F34" s="55" t="s">
        <v>696</v>
      </c>
      <c r="G34" s="55" t="s">
        <v>458</v>
      </c>
      <c r="H34" s="55">
        <v>16000</v>
      </c>
    </row>
    <row r="35" spans="1:8" x14ac:dyDescent="0.35">
      <c r="A35" s="55">
        <v>152</v>
      </c>
      <c r="B35" s="55" t="s">
        <v>686</v>
      </c>
      <c r="C35" s="55" t="s">
        <v>697</v>
      </c>
      <c r="D35" s="55" t="s">
        <v>698</v>
      </c>
      <c r="E35" s="55">
        <v>770809</v>
      </c>
      <c r="F35" s="55" t="s">
        <v>699</v>
      </c>
      <c r="G35" s="55" t="s">
        <v>458</v>
      </c>
      <c r="H35" s="55">
        <v>16500</v>
      </c>
    </row>
    <row r="36" spans="1:8" x14ac:dyDescent="0.35">
      <c r="A36" s="55">
        <v>153</v>
      </c>
      <c r="B36" s="55" t="s">
        <v>686</v>
      </c>
      <c r="C36" s="55" t="s">
        <v>700</v>
      </c>
      <c r="D36" s="55" t="s">
        <v>701</v>
      </c>
      <c r="E36" s="55">
        <v>820506</v>
      </c>
      <c r="F36" s="55" t="s">
        <v>702</v>
      </c>
      <c r="G36" s="55" t="s">
        <v>458</v>
      </c>
      <c r="H36" s="55">
        <v>15000</v>
      </c>
    </row>
    <row r="37" spans="1:8" hidden="1" x14ac:dyDescent="0.35">
      <c r="A37" s="55">
        <v>154</v>
      </c>
      <c r="B37" s="55" t="s">
        <v>686</v>
      </c>
      <c r="C37" s="55" t="s">
        <v>724</v>
      </c>
      <c r="D37" s="55" t="s">
        <v>725</v>
      </c>
      <c r="E37" s="55">
        <v>440315</v>
      </c>
      <c r="F37" s="55" t="s">
        <v>726</v>
      </c>
      <c r="G37" s="55" t="s">
        <v>477</v>
      </c>
      <c r="H37" s="55">
        <v>16000</v>
      </c>
    </row>
    <row r="38" spans="1:8" hidden="1" x14ac:dyDescent="0.35">
      <c r="A38" s="55">
        <v>155</v>
      </c>
      <c r="B38" s="55" t="s">
        <v>505</v>
      </c>
      <c r="C38" s="55" t="s">
        <v>543</v>
      </c>
      <c r="D38" s="55" t="s">
        <v>544</v>
      </c>
      <c r="E38" s="55">
        <v>630924</v>
      </c>
      <c r="F38" s="55" t="s">
        <v>545</v>
      </c>
      <c r="G38" s="55" t="s">
        <v>477</v>
      </c>
      <c r="H38" s="55">
        <v>17500</v>
      </c>
    </row>
    <row r="39" spans="1:8" hidden="1" x14ac:dyDescent="0.35">
      <c r="A39" s="55">
        <v>156</v>
      </c>
      <c r="B39" s="55" t="s">
        <v>505</v>
      </c>
      <c r="C39" s="55" t="s">
        <v>566</v>
      </c>
      <c r="D39" s="55" t="s">
        <v>567</v>
      </c>
      <c r="E39" s="55">
        <v>770814</v>
      </c>
      <c r="F39" s="55" t="s">
        <v>568</v>
      </c>
      <c r="G39" s="55" t="s">
        <v>492</v>
      </c>
      <c r="H39" s="55">
        <v>19000</v>
      </c>
    </row>
    <row r="40" spans="1:8" x14ac:dyDescent="0.35">
      <c r="A40" s="55">
        <v>157</v>
      </c>
      <c r="B40" s="55" t="s">
        <v>505</v>
      </c>
      <c r="C40" s="55" t="s">
        <v>512</v>
      </c>
      <c r="D40" s="55" t="s">
        <v>513</v>
      </c>
      <c r="E40" s="55">
        <v>780921</v>
      </c>
      <c r="F40" s="55" t="s">
        <v>514</v>
      </c>
      <c r="G40" s="55" t="s">
        <v>458</v>
      </c>
      <c r="H40" s="55">
        <v>19000</v>
      </c>
    </row>
    <row r="41" spans="1:8" x14ac:dyDescent="0.35">
      <c r="A41" s="55">
        <v>158</v>
      </c>
      <c r="B41" s="55" t="s">
        <v>455</v>
      </c>
      <c r="C41" s="55" t="s">
        <v>406</v>
      </c>
      <c r="D41" s="55" t="s">
        <v>456</v>
      </c>
      <c r="E41" s="55">
        <v>600108</v>
      </c>
      <c r="F41" s="55" t="s">
        <v>457</v>
      </c>
      <c r="G41" s="55" t="s">
        <v>458</v>
      </c>
      <c r="H41" s="55">
        <v>19000</v>
      </c>
    </row>
    <row r="42" spans="1:8" x14ac:dyDescent="0.35">
      <c r="A42" s="55">
        <v>159</v>
      </c>
      <c r="B42" s="55" t="s">
        <v>455</v>
      </c>
      <c r="C42" s="55" t="s">
        <v>459</v>
      </c>
      <c r="D42" s="55" t="s">
        <v>460</v>
      </c>
      <c r="E42" s="55">
        <v>660523</v>
      </c>
      <c r="F42" s="55" t="s">
        <v>461</v>
      </c>
      <c r="G42" s="55" t="s">
        <v>458</v>
      </c>
      <c r="H42" s="55">
        <v>19000</v>
      </c>
    </row>
    <row r="43" spans="1:8" x14ac:dyDescent="0.35">
      <c r="A43" s="55">
        <v>160</v>
      </c>
      <c r="B43" s="55" t="s">
        <v>455</v>
      </c>
      <c r="C43" s="55" t="s">
        <v>462</v>
      </c>
      <c r="D43" s="55" t="s">
        <v>463</v>
      </c>
      <c r="E43" s="55">
        <v>690807</v>
      </c>
      <c r="F43" s="55" t="s">
        <v>464</v>
      </c>
      <c r="G43" s="55" t="s">
        <v>458</v>
      </c>
      <c r="H43" s="55">
        <v>20000</v>
      </c>
    </row>
    <row r="44" spans="1:8" hidden="1" x14ac:dyDescent="0.35">
      <c r="A44" s="55">
        <v>161</v>
      </c>
      <c r="B44" s="55" t="s">
        <v>686</v>
      </c>
      <c r="C44" s="55" t="s">
        <v>753</v>
      </c>
      <c r="D44" s="55" t="s">
        <v>754</v>
      </c>
      <c r="E44" s="55">
        <v>831213</v>
      </c>
      <c r="F44" s="55" t="s">
        <v>755</v>
      </c>
      <c r="G44" s="55" t="s">
        <v>492</v>
      </c>
      <c r="H44" s="55">
        <v>15000</v>
      </c>
    </row>
    <row r="45" spans="1:8" hidden="1" x14ac:dyDescent="0.35">
      <c r="A45" s="55">
        <v>162</v>
      </c>
      <c r="B45" s="55" t="s">
        <v>686</v>
      </c>
      <c r="C45" s="55" t="s">
        <v>756</v>
      </c>
      <c r="D45" s="55" t="s">
        <v>757</v>
      </c>
      <c r="E45" s="55">
        <v>710520</v>
      </c>
      <c r="F45" s="55" t="s">
        <v>758</v>
      </c>
      <c r="G45" s="55" t="s">
        <v>492</v>
      </c>
      <c r="H45" s="55">
        <v>15000</v>
      </c>
    </row>
    <row r="46" spans="1:8" hidden="1" x14ac:dyDescent="0.35">
      <c r="A46" s="55">
        <v>163</v>
      </c>
      <c r="B46" s="55" t="s">
        <v>686</v>
      </c>
      <c r="C46" s="55" t="s">
        <v>421</v>
      </c>
      <c r="D46" s="55" t="s">
        <v>759</v>
      </c>
      <c r="E46" s="55">
        <v>710410</v>
      </c>
      <c r="F46" s="55" t="s">
        <v>760</v>
      </c>
      <c r="G46" s="55" t="s">
        <v>492</v>
      </c>
      <c r="H46" s="55">
        <v>16000</v>
      </c>
    </row>
    <row r="47" spans="1:8" hidden="1" x14ac:dyDescent="0.35">
      <c r="A47" s="55">
        <v>164</v>
      </c>
      <c r="B47" s="55" t="s">
        <v>686</v>
      </c>
      <c r="C47" s="55" t="s">
        <v>761</v>
      </c>
      <c r="D47" s="55" t="s">
        <v>762</v>
      </c>
      <c r="E47" s="55">
        <v>660521</v>
      </c>
      <c r="F47" s="55" t="s">
        <v>764</v>
      </c>
      <c r="G47" s="55" t="s">
        <v>492</v>
      </c>
      <c r="H47" s="55">
        <v>15000</v>
      </c>
    </row>
    <row r="48" spans="1:8" hidden="1" x14ac:dyDescent="0.35">
      <c r="A48" s="55">
        <v>165</v>
      </c>
      <c r="B48" s="55" t="s">
        <v>505</v>
      </c>
      <c r="C48" s="55" t="s">
        <v>569</v>
      </c>
      <c r="D48" s="55" t="s">
        <v>570</v>
      </c>
      <c r="E48" s="55">
        <v>580412</v>
      </c>
      <c r="F48" s="55" t="s">
        <v>571</v>
      </c>
      <c r="G48" s="55" t="s">
        <v>492</v>
      </c>
      <c r="H48" s="55">
        <v>18000</v>
      </c>
    </row>
    <row r="49" spans="1:8" hidden="1" x14ac:dyDescent="0.35">
      <c r="A49" s="55">
        <v>166</v>
      </c>
      <c r="B49" s="55" t="s">
        <v>418</v>
      </c>
      <c r="C49" s="55" t="s">
        <v>655</v>
      </c>
      <c r="D49" s="55" t="s">
        <v>656</v>
      </c>
      <c r="E49" s="55">
        <v>800223</v>
      </c>
      <c r="F49" s="55" t="s">
        <v>657</v>
      </c>
      <c r="G49" s="55" t="s">
        <v>492</v>
      </c>
      <c r="H49" s="55">
        <v>18000</v>
      </c>
    </row>
    <row r="50" spans="1:8" hidden="1" x14ac:dyDescent="0.35">
      <c r="A50" s="55">
        <v>167</v>
      </c>
      <c r="B50" s="55" t="s">
        <v>418</v>
      </c>
      <c r="C50" s="55" t="s">
        <v>658</v>
      </c>
      <c r="D50" s="55" t="s">
        <v>659</v>
      </c>
      <c r="E50" s="55">
        <v>770412</v>
      </c>
      <c r="F50" s="55" t="s">
        <v>660</v>
      </c>
      <c r="G50" s="55" t="s">
        <v>492</v>
      </c>
      <c r="H50" s="55">
        <v>21000</v>
      </c>
    </row>
    <row r="51" spans="1:8" hidden="1" x14ac:dyDescent="0.35">
      <c r="A51" s="55">
        <v>168</v>
      </c>
      <c r="B51" s="55" t="s">
        <v>455</v>
      </c>
      <c r="C51" s="55" t="s">
        <v>487</v>
      </c>
      <c r="D51" s="55" t="s">
        <v>490</v>
      </c>
      <c r="E51" s="55">
        <v>730812</v>
      </c>
      <c r="F51" s="55" t="s">
        <v>491</v>
      </c>
      <c r="G51" s="55" t="s">
        <v>492</v>
      </c>
      <c r="H51" s="55">
        <v>19500</v>
      </c>
    </row>
    <row r="52" spans="1:8" hidden="1" x14ac:dyDescent="0.35">
      <c r="A52" s="55">
        <v>169</v>
      </c>
      <c r="B52" s="55" t="s">
        <v>455</v>
      </c>
      <c r="C52" s="55" t="s">
        <v>493</v>
      </c>
      <c r="D52" s="55" t="s">
        <v>494</v>
      </c>
      <c r="E52" s="55">
        <v>780630</v>
      </c>
      <c r="F52" s="55" t="s">
        <v>495</v>
      </c>
      <c r="G52" s="55" t="s">
        <v>492</v>
      </c>
      <c r="H52" s="55">
        <v>18000</v>
      </c>
    </row>
    <row r="53" spans="1:8" hidden="1" x14ac:dyDescent="0.35">
      <c r="A53" s="55">
        <v>170</v>
      </c>
      <c r="B53" s="55" t="s">
        <v>418</v>
      </c>
      <c r="C53" s="55" t="s">
        <v>661</v>
      </c>
      <c r="D53" s="55" t="s">
        <v>662</v>
      </c>
      <c r="E53" s="55">
        <v>640512</v>
      </c>
      <c r="F53" s="55" t="s">
        <v>663</v>
      </c>
      <c r="G53" s="55" t="s">
        <v>492</v>
      </c>
      <c r="H53" s="55">
        <v>22000</v>
      </c>
    </row>
    <row r="54" spans="1:8" hidden="1" x14ac:dyDescent="0.35">
      <c r="A54" s="55">
        <v>171</v>
      </c>
      <c r="B54" s="55" t="s">
        <v>505</v>
      </c>
      <c r="C54" s="55" t="s">
        <v>543</v>
      </c>
      <c r="D54" s="55" t="s">
        <v>572</v>
      </c>
      <c r="E54" s="55">
        <v>600213</v>
      </c>
      <c r="F54" s="55" t="s">
        <v>573</v>
      </c>
      <c r="G54" s="55" t="s">
        <v>492</v>
      </c>
      <c r="H54" s="55">
        <v>21000</v>
      </c>
    </row>
    <row r="55" spans="1:8" x14ac:dyDescent="0.35">
      <c r="A55" s="55">
        <v>172</v>
      </c>
      <c r="B55" s="55" t="s">
        <v>455</v>
      </c>
      <c r="C55" s="55" t="s">
        <v>465</v>
      </c>
      <c r="D55" s="55" t="s">
        <v>466</v>
      </c>
      <c r="E55" s="55">
        <v>581203</v>
      </c>
      <c r="F55" s="55" t="s">
        <v>467</v>
      </c>
      <c r="G55" s="55" t="s">
        <v>458</v>
      </c>
      <c r="H55" s="55">
        <v>21000</v>
      </c>
    </row>
    <row r="56" spans="1:8" hidden="1" x14ac:dyDescent="0.35">
      <c r="A56" s="55">
        <v>173</v>
      </c>
      <c r="B56" s="55" t="s">
        <v>455</v>
      </c>
      <c r="C56" s="55" t="s">
        <v>474</v>
      </c>
      <c r="D56" s="55" t="s">
        <v>475</v>
      </c>
      <c r="E56" s="55">
        <v>550401</v>
      </c>
      <c r="F56" s="55" t="s">
        <v>476</v>
      </c>
      <c r="G56" s="55" t="s">
        <v>477</v>
      </c>
      <c r="H56" s="55">
        <v>18000</v>
      </c>
    </row>
    <row r="57" spans="1:8" x14ac:dyDescent="0.35">
      <c r="A57" s="55">
        <v>174</v>
      </c>
      <c r="B57" s="55" t="s">
        <v>675</v>
      </c>
      <c r="C57" s="55" t="s">
        <v>652</v>
      </c>
      <c r="D57" s="55" t="s">
        <v>627</v>
      </c>
      <c r="E57" s="55">
        <v>610201</v>
      </c>
      <c r="F57" s="55" t="s">
        <v>676</v>
      </c>
      <c r="G57" s="55" t="s">
        <v>458</v>
      </c>
      <c r="H57" s="55">
        <v>22000</v>
      </c>
    </row>
    <row r="58" spans="1:8" x14ac:dyDescent="0.35">
      <c r="A58" s="55">
        <v>175</v>
      </c>
      <c r="B58" s="55" t="s">
        <v>675</v>
      </c>
      <c r="C58" s="55" t="s">
        <v>677</v>
      </c>
      <c r="D58" s="55" t="s">
        <v>678</v>
      </c>
      <c r="E58" s="55">
        <v>700113</v>
      </c>
      <c r="F58" s="55" t="s">
        <v>679</v>
      </c>
      <c r="G58" s="55" t="s">
        <v>458</v>
      </c>
      <c r="H58" s="55">
        <v>20000</v>
      </c>
    </row>
    <row r="59" spans="1:8" hidden="1" x14ac:dyDescent="0.35">
      <c r="A59" s="55">
        <v>176</v>
      </c>
      <c r="B59" s="55" t="s">
        <v>686</v>
      </c>
      <c r="C59" s="55" t="s">
        <v>727</v>
      </c>
      <c r="D59" s="55" t="s">
        <v>728</v>
      </c>
      <c r="E59" s="55">
        <v>751230</v>
      </c>
      <c r="F59" s="55" t="s">
        <v>729</v>
      </c>
      <c r="G59" s="55" t="s">
        <v>477</v>
      </c>
      <c r="H59" s="55">
        <v>15000</v>
      </c>
    </row>
    <row r="60" spans="1:8" hidden="1" x14ac:dyDescent="0.35">
      <c r="A60" s="55">
        <v>177</v>
      </c>
      <c r="B60" s="55" t="s">
        <v>686</v>
      </c>
      <c r="C60" s="55" t="s">
        <v>765</v>
      </c>
      <c r="D60" s="55" t="s">
        <v>766</v>
      </c>
      <c r="E60" s="55">
        <v>710101</v>
      </c>
      <c r="F60" s="55" t="s">
        <v>767</v>
      </c>
      <c r="G60" s="55" t="s">
        <v>492</v>
      </c>
      <c r="H60" s="55">
        <v>14500</v>
      </c>
    </row>
    <row r="61" spans="1:8" x14ac:dyDescent="0.35">
      <c r="A61" s="55">
        <v>178</v>
      </c>
      <c r="B61" s="55" t="s">
        <v>686</v>
      </c>
      <c r="C61" s="55" t="s">
        <v>703</v>
      </c>
      <c r="D61" s="55" t="s">
        <v>704</v>
      </c>
      <c r="E61" s="55">
        <v>640520</v>
      </c>
      <c r="F61" s="55" t="s">
        <v>705</v>
      </c>
      <c r="G61" s="55" t="s">
        <v>458</v>
      </c>
      <c r="H61" s="55">
        <v>18000</v>
      </c>
    </row>
    <row r="62" spans="1:8" x14ac:dyDescent="0.35">
      <c r="A62" s="55">
        <v>179</v>
      </c>
      <c r="B62" s="55" t="s">
        <v>686</v>
      </c>
      <c r="C62" s="55" t="s">
        <v>706</v>
      </c>
      <c r="D62" s="55" t="s">
        <v>707</v>
      </c>
      <c r="E62" s="55">
        <v>610202</v>
      </c>
      <c r="F62" s="55" t="s">
        <v>708</v>
      </c>
      <c r="G62" s="55" t="s">
        <v>458</v>
      </c>
      <c r="H62" s="55">
        <v>15500</v>
      </c>
    </row>
    <row r="63" spans="1:8" x14ac:dyDescent="0.35">
      <c r="A63" s="55">
        <v>180</v>
      </c>
      <c r="B63" s="55" t="s">
        <v>675</v>
      </c>
      <c r="C63" s="55" t="s">
        <v>680</v>
      </c>
      <c r="D63" s="55" t="s">
        <v>681</v>
      </c>
      <c r="E63" s="55">
        <v>650513</v>
      </c>
      <c r="F63" s="55" t="s">
        <v>682</v>
      </c>
      <c r="G63" s="55" t="s">
        <v>458</v>
      </c>
      <c r="H63" s="55">
        <v>19500</v>
      </c>
    </row>
    <row r="64" spans="1:8" hidden="1" x14ac:dyDescent="0.35">
      <c r="A64" s="55">
        <v>181</v>
      </c>
      <c r="B64" s="55" t="s">
        <v>455</v>
      </c>
      <c r="C64" s="55" t="s">
        <v>478</v>
      </c>
      <c r="D64" s="55" t="s">
        <v>479</v>
      </c>
      <c r="E64" s="55">
        <v>700421</v>
      </c>
      <c r="F64" s="55" t="s">
        <v>480</v>
      </c>
      <c r="G64" s="55" t="s">
        <v>477</v>
      </c>
      <c r="H64" s="55">
        <v>18000</v>
      </c>
    </row>
    <row r="65" spans="1:8" hidden="1" x14ac:dyDescent="0.35">
      <c r="A65" s="55">
        <v>182</v>
      </c>
      <c r="B65" s="55" t="s">
        <v>505</v>
      </c>
      <c r="C65" s="55" t="s">
        <v>546</v>
      </c>
      <c r="D65" s="55" t="s">
        <v>547</v>
      </c>
      <c r="E65" s="55">
        <v>650412</v>
      </c>
      <c r="F65" s="55" t="s">
        <v>548</v>
      </c>
      <c r="G65" s="55" t="s">
        <v>477</v>
      </c>
      <c r="H65" s="55">
        <v>18000</v>
      </c>
    </row>
    <row r="66" spans="1:8" hidden="1" x14ac:dyDescent="0.35">
      <c r="A66" s="55">
        <v>183</v>
      </c>
      <c r="B66" s="55" t="s">
        <v>455</v>
      </c>
      <c r="C66" s="55" t="s">
        <v>496</v>
      </c>
      <c r="D66" s="55" t="s">
        <v>497</v>
      </c>
      <c r="E66" s="55">
        <v>500401</v>
      </c>
      <c r="F66" s="55" t="s">
        <v>498</v>
      </c>
      <c r="G66" s="55" t="s">
        <v>492</v>
      </c>
      <c r="H66" s="55">
        <v>19000</v>
      </c>
    </row>
    <row r="67" spans="1:8" hidden="1" x14ac:dyDescent="0.35">
      <c r="A67" s="55">
        <v>184</v>
      </c>
      <c r="B67" s="55" t="s">
        <v>418</v>
      </c>
      <c r="C67" s="55" t="s">
        <v>664</v>
      </c>
      <c r="D67" s="55" t="s">
        <v>574</v>
      </c>
      <c r="E67" s="55">
        <v>660226</v>
      </c>
      <c r="F67" s="55" t="s">
        <v>665</v>
      </c>
      <c r="G67" s="55" t="s">
        <v>492</v>
      </c>
      <c r="H67" s="55">
        <v>20000</v>
      </c>
    </row>
    <row r="68" spans="1:8" hidden="1" x14ac:dyDescent="0.35">
      <c r="A68" s="55">
        <v>185</v>
      </c>
      <c r="B68" s="55" t="s">
        <v>418</v>
      </c>
      <c r="C68" s="55" t="s">
        <v>666</v>
      </c>
      <c r="D68" s="55" t="s">
        <v>667</v>
      </c>
      <c r="E68" s="55">
        <v>720404</v>
      </c>
      <c r="F68" s="55" t="s">
        <v>668</v>
      </c>
      <c r="G68" s="55" t="s">
        <v>492</v>
      </c>
      <c r="H68" s="55">
        <v>20000</v>
      </c>
    </row>
    <row r="69" spans="1:8" hidden="1" x14ac:dyDescent="0.35">
      <c r="A69" s="55">
        <v>186</v>
      </c>
      <c r="B69" s="55" t="s">
        <v>505</v>
      </c>
      <c r="C69" s="55" t="s">
        <v>509</v>
      </c>
      <c r="D69" s="55" t="s">
        <v>574</v>
      </c>
      <c r="E69" s="55">
        <v>710101</v>
      </c>
      <c r="F69" s="55" t="s">
        <v>575</v>
      </c>
      <c r="G69" s="55" t="s">
        <v>492</v>
      </c>
      <c r="H69" s="55">
        <v>20000</v>
      </c>
    </row>
    <row r="70" spans="1:8" x14ac:dyDescent="0.35">
      <c r="A70" s="55">
        <v>187</v>
      </c>
      <c r="B70" s="55" t="s">
        <v>505</v>
      </c>
      <c r="C70" s="55" t="s">
        <v>506</v>
      </c>
      <c r="D70" s="55" t="s">
        <v>515</v>
      </c>
      <c r="E70" s="55">
        <v>660821</v>
      </c>
      <c r="F70" s="55" t="s">
        <v>516</v>
      </c>
      <c r="G70" s="55" t="s">
        <v>458</v>
      </c>
      <c r="H70" s="55">
        <v>19500</v>
      </c>
    </row>
    <row r="71" spans="1:8" hidden="1" x14ac:dyDescent="0.35">
      <c r="A71" s="55">
        <v>188</v>
      </c>
      <c r="B71" s="55" t="s">
        <v>505</v>
      </c>
      <c r="C71" s="55" t="s">
        <v>576</v>
      </c>
      <c r="D71" s="55" t="s">
        <v>577</v>
      </c>
      <c r="E71" s="55">
        <v>690823</v>
      </c>
      <c r="F71" s="55" t="s">
        <v>578</v>
      </c>
      <c r="G71" s="55" t="s">
        <v>492</v>
      </c>
      <c r="H71" s="55">
        <v>17500</v>
      </c>
    </row>
    <row r="72" spans="1:8" hidden="1" x14ac:dyDescent="0.35">
      <c r="A72" s="55">
        <v>189</v>
      </c>
      <c r="B72" s="55" t="s">
        <v>505</v>
      </c>
      <c r="C72" s="55" t="s">
        <v>579</v>
      </c>
      <c r="D72" s="55" t="s">
        <v>580</v>
      </c>
      <c r="E72" s="55">
        <v>590620</v>
      </c>
      <c r="F72" s="55" t="s">
        <v>581</v>
      </c>
      <c r="G72" s="55" t="s">
        <v>492</v>
      </c>
      <c r="H72" s="55">
        <v>19000</v>
      </c>
    </row>
    <row r="73" spans="1:8" hidden="1" x14ac:dyDescent="0.35">
      <c r="A73" s="55">
        <v>190</v>
      </c>
      <c r="B73" s="55" t="s">
        <v>505</v>
      </c>
      <c r="C73" s="55" t="s">
        <v>549</v>
      </c>
      <c r="D73" s="55" t="s">
        <v>550</v>
      </c>
      <c r="E73" s="55">
        <v>800102</v>
      </c>
      <c r="F73" s="55" t="s">
        <v>551</v>
      </c>
      <c r="G73" s="55" t="s">
        <v>477</v>
      </c>
      <c r="H73" s="55">
        <v>16500</v>
      </c>
    </row>
    <row r="74" spans="1:8" hidden="1" x14ac:dyDescent="0.35">
      <c r="A74" s="55">
        <v>191</v>
      </c>
      <c r="B74" s="55" t="s">
        <v>505</v>
      </c>
      <c r="C74" s="55" t="s">
        <v>582</v>
      </c>
      <c r="D74" s="55" t="s">
        <v>583</v>
      </c>
      <c r="E74" s="55">
        <v>690526</v>
      </c>
      <c r="F74" s="55" t="s">
        <v>584</v>
      </c>
      <c r="G74" s="55" t="s">
        <v>492</v>
      </c>
      <c r="H74" s="55">
        <v>19500</v>
      </c>
    </row>
    <row r="75" spans="1:8" hidden="1" x14ac:dyDescent="0.35">
      <c r="A75" s="55">
        <v>192</v>
      </c>
      <c r="B75" s="55" t="s">
        <v>505</v>
      </c>
      <c r="C75" s="55" t="s">
        <v>585</v>
      </c>
      <c r="D75" s="55" t="s">
        <v>586</v>
      </c>
      <c r="E75" s="55">
        <v>750403</v>
      </c>
      <c r="F75" s="55" t="s">
        <v>587</v>
      </c>
      <c r="G75" s="55" t="s">
        <v>492</v>
      </c>
      <c r="H75" s="55">
        <v>16500</v>
      </c>
    </row>
    <row r="76" spans="1:8" hidden="1" x14ac:dyDescent="0.35">
      <c r="A76" s="55">
        <v>193</v>
      </c>
      <c r="B76" s="55" t="s">
        <v>505</v>
      </c>
      <c r="C76" s="55" t="s">
        <v>552</v>
      </c>
      <c r="D76" s="55" t="s">
        <v>553</v>
      </c>
      <c r="E76" s="55">
        <v>740120</v>
      </c>
      <c r="F76" s="55" t="s">
        <v>554</v>
      </c>
      <c r="G76" s="55" t="s">
        <v>477</v>
      </c>
      <c r="H76" s="55">
        <v>15000</v>
      </c>
    </row>
    <row r="77" spans="1:8" hidden="1" x14ac:dyDescent="0.35">
      <c r="A77" s="55">
        <v>194</v>
      </c>
      <c r="B77" s="55" t="s">
        <v>418</v>
      </c>
      <c r="C77" s="55" t="s">
        <v>669</v>
      </c>
      <c r="D77" s="55" t="s">
        <v>670</v>
      </c>
      <c r="E77" s="55">
        <v>780506</v>
      </c>
      <c r="F77" s="55" t="s">
        <v>671</v>
      </c>
      <c r="G77" s="55" t="s">
        <v>492</v>
      </c>
      <c r="H77" s="55">
        <v>16500</v>
      </c>
    </row>
    <row r="78" spans="1:8" hidden="1" x14ac:dyDescent="0.35">
      <c r="A78" s="55">
        <v>195</v>
      </c>
      <c r="B78" s="55" t="s">
        <v>675</v>
      </c>
      <c r="C78" s="55" t="s">
        <v>683</v>
      </c>
      <c r="D78" s="55" t="s">
        <v>684</v>
      </c>
      <c r="E78" s="55">
        <v>770412</v>
      </c>
      <c r="F78" s="55" t="s">
        <v>685</v>
      </c>
      <c r="G78" s="55" t="s">
        <v>492</v>
      </c>
      <c r="H78" s="55">
        <v>22000</v>
      </c>
    </row>
    <row r="79" spans="1:8" hidden="1" x14ac:dyDescent="0.35">
      <c r="A79" s="55">
        <v>196</v>
      </c>
      <c r="B79" s="55" t="s">
        <v>455</v>
      </c>
      <c r="C79" s="55" t="s">
        <v>499</v>
      </c>
      <c r="D79" s="55" t="s">
        <v>500</v>
      </c>
      <c r="E79" s="55">
        <v>660520</v>
      </c>
      <c r="F79" s="55" t="s">
        <v>501</v>
      </c>
      <c r="G79" s="55" t="s">
        <v>492</v>
      </c>
      <c r="H79" s="55">
        <v>20000</v>
      </c>
    </row>
    <row r="80" spans="1:8" hidden="1" x14ac:dyDescent="0.35">
      <c r="A80" s="55">
        <v>197</v>
      </c>
      <c r="B80" s="55" t="s">
        <v>455</v>
      </c>
      <c r="C80" s="55" t="s">
        <v>481</v>
      </c>
      <c r="D80" s="55" t="s">
        <v>482</v>
      </c>
      <c r="E80" s="55">
        <v>640201</v>
      </c>
      <c r="F80" s="55" t="s">
        <v>483</v>
      </c>
      <c r="G80" s="55" t="s">
        <v>477</v>
      </c>
      <c r="H80" s="55">
        <v>20000</v>
      </c>
    </row>
    <row r="81" spans="1:8" hidden="1" x14ac:dyDescent="0.35">
      <c r="A81" s="55">
        <v>198</v>
      </c>
      <c r="B81" s="55" t="s">
        <v>686</v>
      </c>
      <c r="C81" s="55" t="s">
        <v>768</v>
      </c>
      <c r="D81" s="55" t="s">
        <v>769</v>
      </c>
      <c r="E81" s="55">
        <v>810429</v>
      </c>
      <c r="F81" s="55" t="s">
        <v>770</v>
      </c>
      <c r="G81" s="55" t="s">
        <v>492</v>
      </c>
      <c r="H81" s="55">
        <v>15000</v>
      </c>
    </row>
    <row r="82" spans="1:8" x14ac:dyDescent="0.35">
      <c r="A82" s="55">
        <v>199</v>
      </c>
      <c r="B82" s="55" t="s">
        <v>686</v>
      </c>
      <c r="C82" s="55" t="s">
        <v>709</v>
      </c>
      <c r="D82" s="55" t="s">
        <v>710</v>
      </c>
      <c r="E82" s="55">
        <v>790811</v>
      </c>
      <c r="F82" s="55" t="s">
        <v>711</v>
      </c>
      <c r="G82" s="55" t="s">
        <v>458</v>
      </c>
      <c r="H82" s="55">
        <v>17500</v>
      </c>
    </row>
    <row r="83" spans="1:8" hidden="1" x14ac:dyDescent="0.35">
      <c r="A83" s="55">
        <v>200</v>
      </c>
      <c r="B83" s="55" t="s">
        <v>686</v>
      </c>
      <c r="C83" s="55" t="s">
        <v>730</v>
      </c>
      <c r="D83" s="55" t="s">
        <v>558</v>
      </c>
      <c r="E83" s="55">
        <v>701112</v>
      </c>
      <c r="F83" s="55" t="s">
        <v>731</v>
      </c>
      <c r="G83" s="55" t="s">
        <v>477</v>
      </c>
      <c r="H83" s="55">
        <v>16000</v>
      </c>
    </row>
    <row r="84" spans="1:8" hidden="1" x14ac:dyDescent="0.35">
      <c r="A84" s="55">
        <v>201</v>
      </c>
      <c r="B84" s="55" t="s">
        <v>686</v>
      </c>
      <c r="C84" s="55" t="s">
        <v>771</v>
      </c>
      <c r="D84" s="55" t="s">
        <v>772</v>
      </c>
      <c r="E84" s="55">
        <v>650412</v>
      </c>
      <c r="F84" s="55" t="s">
        <v>773</v>
      </c>
      <c r="G84" s="55" t="s">
        <v>492</v>
      </c>
      <c r="H84" s="55">
        <v>18500</v>
      </c>
    </row>
    <row r="85" spans="1:8" hidden="1" x14ac:dyDescent="0.35">
      <c r="A85" s="55">
        <v>202</v>
      </c>
      <c r="B85" s="55" t="s">
        <v>686</v>
      </c>
      <c r="C85" s="55" t="s">
        <v>732</v>
      </c>
      <c r="D85" s="55" t="s">
        <v>733</v>
      </c>
      <c r="E85" s="55">
        <v>620323</v>
      </c>
      <c r="F85" s="55" t="s">
        <v>734</v>
      </c>
      <c r="G85" s="55" t="s">
        <v>477</v>
      </c>
      <c r="H85" s="55">
        <v>15500</v>
      </c>
    </row>
    <row r="86" spans="1:8" hidden="1" x14ac:dyDescent="0.35">
      <c r="A86" s="55">
        <v>203</v>
      </c>
      <c r="B86" s="55" t="s">
        <v>686</v>
      </c>
      <c r="C86" s="55" t="s">
        <v>697</v>
      </c>
      <c r="D86" s="55" t="s">
        <v>670</v>
      </c>
      <c r="E86" s="55">
        <v>710829</v>
      </c>
      <c r="F86" s="55" t="s">
        <v>774</v>
      </c>
      <c r="G86" s="55" t="s">
        <v>492</v>
      </c>
      <c r="H86" s="55">
        <v>19900</v>
      </c>
    </row>
    <row r="87" spans="1:8" x14ac:dyDescent="0.35">
      <c r="A87" s="55">
        <v>204</v>
      </c>
      <c r="B87" s="55" t="s">
        <v>686</v>
      </c>
      <c r="C87" s="55" t="s">
        <v>712</v>
      </c>
      <c r="D87" s="55" t="s">
        <v>713</v>
      </c>
      <c r="E87" s="55">
        <v>770315</v>
      </c>
      <c r="F87" s="55" t="s">
        <v>714</v>
      </c>
      <c r="G87" s="55" t="s">
        <v>458</v>
      </c>
      <c r="H87" s="55">
        <v>15000</v>
      </c>
    </row>
    <row r="88" spans="1:8" x14ac:dyDescent="0.35">
      <c r="A88" s="55">
        <v>205</v>
      </c>
      <c r="B88" s="55" t="s">
        <v>455</v>
      </c>
      <c r="C88" s="55" t="s">
        <v>468</v>
      </c>
      <c r="D88" s="55" t="s">
        <v>469</v>
      </c>
      <c r="E88" s="55">
        <v>701212</v>
      </c>
      <c r="F88" s="55" t="s">
        <v>470</v>
      </c>
      <c r="G88" s="55" t="s">
        <v>458</v>
      </c>
      <c r="H88" s="55">
        <v>20000</v>
      </c>
    </row>
    <row r="89" spans="1:8" hidden="1" x14ac:dyDescent="0.35">
      <c r="A89" s="55">
        <v>206</v>
      </c>
      <c r="B89" s="55" t="s">
        <v>455</v>
      </c>
      <c r="C89" s="55" t="s">
        <v>484</v>
      </c>
      <c r="D89" s="55" t="s">
        <v>485</v>
      </c>
      <c r="E89" s="55">
        <v>660502</v>
      </c>
      <c r="F89" s="55" t="s">
        <v>486</v>
      </c>
      <c r="G89" s="55" t="s">
        <v>477</v>
      </c>
      <c r="H89" s="55">
        <v>18000</v>
      </c>
    </row>
    <row r="90" spans="1:8" x14ac:dyDescent="0.35">
      <c r="A90" s="55">
        <v>207</v>
      </c>
      <c r="B90" s="55" t="s">
        <v>455</v>
      </c>
      <c r="C90" s="55" t="s">
        <v>471</v>
      </c>
      <c r="D90" s="55" t="s">
        <v>472</v>
      </c>
      <c r="E90" s="55">
        <v>660201</v>
      </c>
      <c r="F90" s="55" t="s">
        <v>473</v>
      </c>
      <c r="G90" s="55" t="s">
        <v>458</v>
      </c>
      <c r="H90" s="55">
        <v>20000</v>
      </c>
    </row>
    <row r="91" spans="1:8" x14ac:dyDescent="0.35">
      <c r="A91" s="55">
        <v>208</v>
      </c>
      <c r="B91" s="55" t="s">
        <v>686</v>
      </c>
      <c r="C91" s="55" t="s">
        <v>462</v>
      </c>
      <c r="D91" s="55" t="s">
        <v>715</v>
      </c>
      <c r="E91" s="55">
        <v>820512</v>
      </c>
      <c r="F91" s="55" t="s">
        <v>716</v>
      </c>
      <c r="G91" s="55" t="s">
        <v>458</v>
      </c>
      <c r="H91" s="55">
        <v>15000</v>
      </c>
    </row>
    <row r="92" spans="1:8" hidden="1" x14ac:dyDescent="0.35">
      <c r="A92" s="55">
        <v>209</v>
      </c>
      <c r="B92" s="55" t="s">
        <v>505</v>
      </c>
      <c r="C92" s="55" t="s">
        <v>588</v>
      </c>
      <c r="D92" s="55" t="s">
        <v>589</v>
      </c>
      <c r="E92" s="55">
        <v>800527</v>
      </c>
      <c r="F92" s="55" t="s">
        <v>590</v>
      </c>
      <c r="G92" s="55" t="s">
        <v>492</v>
      </c>
      <c r="H92" s="55">
        <v>19500</v>
      </c>
    </row>
    <row r="93" spans="1:8" hidden="1" x14ac:dyDescent="0.35">
      <c r="A93" s="55">
        <v>210</v>
      </c>
      <c r="B93" s="55" t="s">
        <v>505</v>
      </c>
      <c r="C93" s="55" t="s">
        <v>591</v>
      </c>
      <c r="D93" s="55" t="s">
        <v>592</v>
      </c>
      <c r="E93" s="55">
        <v>810526</v>
      </c>
      <c r="F93" s="55" t="s">
        <v>593</v>
      </c>
      <c r="G93" s="55" t="s">
        <v>492</v>
      </c>
      <c r="H93" s="55">
        <v>19000</v>
      </c>
    </row>
    <row r="94" spans="1:8" hidden="1" x14ac:dyDescent="0.35">
      <c r="A94" s="55">
        <v>211</v>
      </c>
      <c r="B94" s="55" t="s">
        <v>505</v>
      </c>
      <c r="C94" s="55" t="s">
        <v>594</v>
      </c>
      <c r="D94" s="55" t="s">
        <v>595</v>
      </c>
      <c r="E94" s="55">
        <v>830205</v>
      </c>
      <c r="F94" s="55" t="s">
        <v>596</v>
      </c>
      <c r="G94" s="55" t="s">
        <v>492</v>
      </c>
      <c r="H94" s="55">
        <v>19000</v>
      </c>
    </row>
    <row r="95" spans="1:8" hidden="1" x14ac:dyDescent="0.35">
      <c r="A95" s="55">
        <v>212</v>
      </c>
      <c r="B95" s="55" t="s">
        <v>505</v>
      </c>
      <c r="C95" s="55" t="s">
        <v>597</v>
      </c>
      <c r="D95" s="55" t="s">
        <v>497</v>
      </c>
      <c r="E95" s="55">
        <v>800129</v>
      </c>
      <c r="F95" s="55" t="s">
        <v>598</v>
      </c>
      <c r="G95" s="55" t="s">
        <v>492</v>
      </c>
      <c r="H95" s="55">
        <v>17500</v>
      </c>
    </row>
    <row r="96" spans="1:8" hidden="1" x14ac:dyDescent="0.35">
      <c r="A96" s="55">
        <v>213</v>
      </c>
      <c r="B96" s="55" t="s">
        <v>686</v>
      </c>
      <c r="C96" s="55" t="s">
        <v>775</v>
      </c>
      <c r="D96" s="55" t="s">
        <v>776</v>
      </c>
      <c r="E96" s="55">
        <v>790829</v>
      </c>
      <c r="F96" s="55" t="s">
        <v>777</v>
      </c>
      <c r="G96" s="55" t="s">
        <v>492</v>
      </c>
      <c r="H96" s="55">
        <v>15000</v>
      </c>
    </row>
    <row r="97" spans="1:8" hidden="1" x14ac:dyDescent="0.35">
      <c r="A97" s="55">
        <v>214</v>
      </c>
      <c r="B97" s="55" t="s">
        <v>505</v>
      </c>
      <c r="C97" s="55" t="s">
        <v>599</v>
      </c>
      <c r="D97" s="55" t="s">
        <v>600</v>
      </c>
      <c r="E97" s="55">
        <v>750429</v>
      </c>
      <c r="F97" s="55" t="s">
        <v>601</v>
      </c>
      <c r="G97" s="55" t="s">
        <v>492</v>
      </c>
      <c r="H97" s="55">
        <v>19500</v>
      </c>
    </row>
    <row r="98" spans="1:8" hidden="1" x14ac:dyDescent="0.35">
      <c r="A98" s="55">
        <v>215</v>
      </c>
      <c r="B98" s="55" t="s">
        <v>505</v>
      </c>
      <c r="C98" s="55" t="s">
        <v>602</v>
      </c>
      <c r="D98" s="55" t="s">
        <v>603</v>
      </c>
      <c r="E98" s="55">
        <v>800120</v>
      </c>
      <c r="F98" s="55" t="s">
        <v>604</v>
      </c>
      <c r="G98" s="55" t="s">
        <v>492</v>
      </c>
      <c r="H98" s="55">
        <v>15500</v>
      </c>
    </row>
    <row r="99" spans="1:8" hidden="1" x14ac:dyDescent="0.35">
      <c r="A99" s="55">
        <v>216</v>
      </c>
      <c r="B99" s="55" t="s">
        <v>505</v>
      </c>
      <c r="C99" s="55" t="s">
        <v>605</v>
      </c>
      <c r="D99" s="55" t="s">
        <v>606</v>
      </c>
      <c r="E99" s="55">
        <v>820114</v>
      </c>
      <c r="F99" s="55" t="s">
        <v>607</v>
      </c>
      <c r="G99" s="55" t="s">
        <v>492</v>
      </c>
      <c r="H99" s="55">
        <v>17000</v>
      </c>
    </row>
    <row r="100" spans="1:8" hidden="1" x14ac:dyDescent="0.35">
      <c r="A100" s="55">
        <v>217</v>
      </c>
      <c r="B100" s="55" t="s">
        <v>455</v>
      </c>
      <c r="C100" s="55" t="s">
        <v>502</v>
      </c>
      <c r="D100" s="55" t="s">
        <v>503</v>
      </c>
      <c r="E100" s="55">
        <v>690415</v>
      </c>
      <c r="F100" s="55" t="s">
        <v>504</v>
      </c>
      <c r="G100" s="55" t="s">
        <v>492</v>
      </c>
      <c r="H100" s="55">
        <v>19000</v>
      </c>
    </row>
    <row r="101" spans="1:8" hidden="1" x14ac:dyDescent="0.35">
      <c r="A101" s="55">
        <v>218</v>
      </c>
      <c r="B101" s="55" t="s">
        <v>505</v>
      </c>
      <c r="C101" s="55" t="s">
        <v>608</v>
      </c>
      <c r="D101" s="55" t="s">
        <v>609</v>
      </c>
      <c r="E101" s="55">
        <v>830502</v>
      </c>
      <c r="F101" s="55" t="s">
        <v>610</v>
      </c>
      <c r="G101" s="55" t="s">
        <v>492</v>
      </c>
      <c r="H101" s="55">
        <v>20000</v>
      </c>
    </row>
    <row r="102" spans="1:8" hidden="1" x14ac:dyDescent="0.35">
      <c r="A102" s="55">
        <v>219</v>
      </c>
      <c r="B102" s="55" t="s">
        <v>455</v>
      </c>
      <c r="C102" s="55" t="s">
        <v>487</v>
      </c>
      <c r="D102" s="55" t="s">
        <v>488</v>
      </c>
      <c r="E102" s="55">
        <v>710415</v>
      </c>
      <c r="F102" s="55" t="s">
        <v>489</v>
      </c>
      <c r="G102" s="55" t="s">
        <v>477</v>
      </c>
      <c r="H102" s="55">
        <v>21000</v>
      </c>
    </row>
    <row r="103" spans="1:8" hidden="1" x14ac:dyDescent="0.35">
      <c r="A103" s="55">
        <v>220</v>
      </c>
      <c r="B103" s="55" t="s">
        <v>418</v>
      </c>
      <c r="C103" s="55" t="s">
        <v>643</v>
      </c>
      <c r="D103" s="55" t="s">
        <v>644</v>
      </c>
      <c r="E103" s="55">
        <v>610205</v>
      </c>
      <c r="F103" s="55" t="s">
        <v>645</v>
      </c>
      <c r="G103" s="55" t="s">
        <v>477</v>
      </c>
      <c r="H103" s="55">
        <v>21000</v>
      </c>
    </row>
    <row r="104" spans="1:8" hidden="1" x14ac:dyDescent="0.35">
      <c r="A104" s="55">
        <v>221</v>
      </c>
      <c r="B104" s="55" t="s">
        <v>418</v>
      </c>
      <c r="C104" s="55" t="s">
        <v>672</v>
      </c>
      <c r="D104" s="55" t="s">
        <v>673</v>
      </c>
      <c r="E104" s="55">
        <v>541120</v>
      </c>
      <c r="F104" s="55" t="s">
        <v>674</v>
      </c>
      <c r="G104" s="55" t="s">
        <v>492</v>
      </c>
      <c r="H104" s="55">
        <v>19000</v>
      </c>
    </row>
    <row r="105" spans="1:8" hidden="1" x14ac:dyDescent="0.35">
      <c r="A105" s="55">
        <v>222</v>
      </c>
      <c r="B105" s="55" t="s">
        <v>505</v>
      </c>
      <c r="C105" s="55" t="s">
        <v>611</v>
      </c>
      <c r="D105" s="55" t="s">
        <v>612</v>
      </c>
      <c r="E105" s="55">
        <v>610215</v>
      </c>
      <c r="F105" s="55" t="s">
        <v>613</v>
      </c>
      <c r="G105" s="55" t="s">
        <v>492</v>
      </c>
      <c r="H105" s="55">
        <v>17500</v>
      </c>
    </row>
    <row r="106" spans="1:8" hidden="1" x14ac:dyDescent="0.35">
      <c r="A106" s="55">
        <v>223</v>
      </c>
      <c r="B106" s="55" t="s">
        <v>505</v>
      </c>
      <c r="C106" s="55" t="s">
        <v>614</v>
      </c>
      <c r="D106" s="55" t="s">
        <v>615</v>
      </c>
      <c r="E106" s="55">
        <v>590820</v>
      </c>
      <c r="F106" s="55" t="s">
        <v>616</v>
      </c>
      <c r="G106" s="55" t="s">
        <v>492</v>
      </c>
      <c r="H106" s="55">
        <v>18000</v>
      </c>
    </row>
    <row r="107" spans="1:8" hidden="1" x14ac:dyDescent="0.35">
      <c r="A107" s="55">
        <v>224</v>
      </c>
      <c r="B107" s="55" t="s">
        <v>505</v>
      </c>
      <c r="C107" s="55" t="s">
        <v>617</v>
      </c>
      <c r="D107" s="55" t="s">
        <v>618</v>
      </c>
      <c r="E107" s="55">
        <v>600215</v>
      </c>
      <c r="F107" s="55" t="s">
        <v>619</v>
      </c>
      <c r="G107" s="55" t="s">
        <v>492</v>
      </c>
      <c r="H107" s="55">
        <v>18000</v>
      </c>
    </row>
    <row r="108" spans="1:8" hidden="1" x14ac:dyDescent="0.35">
      <c r="A108" s="55">
        <v>225</v>
      </c>
      <c r="B108" s="55" t="s">
        <v>505</v>
      </c>
      <c r="C108" s="55" t="s">
        <v>620</v>
      </c>
      <c r="D108" s="55" t="s">
        <v>621</v>
      </c>
      <c r="E108" s="55">
        <v>560514</v>
      </c>
      <c r="F108" s="55" t="s">
        <v>622</v>
      </c>
      <c r="G108" s="55" t="s">
        <v>492</v>
      </c>
      <c r="H108" s="55">
        <v>21000</v>
      </c>
    </row>
    <row r="109" spans="1:8" x14ac:dyDescent="0.35">
      <c r="A109" s="55">
        <v>226</v>
      </c>
      <c r="B109" s="55" t="s">
        <v>505</v>
      </c>
      <c r="C109" s="55" t="s">
        <v>517</v>
      </c>
      <c r="D109" s="55" t="s">
        <v>518</v>
      </c>
      <c r="E109" s="55">
        <v>710805</v>
      </c>
      <c r="F109" s="55" t="s">
        <v>519</v>
      </c>
      <c r="G109" s="55" t="s">
        <v>458</v>
      </c>
      <c r="H109" s="55">
        <v>16500</v>
      </c>
    </row>
    <row r="110" spans="1:8" x14ac:dyDescent="0.35">
      <c r="A110" s="55">
        <v>227</v>
      </c>
      <c r="B110" s="55" t="s">
        <v>505</v>
      </c>
      <c r="C110" s="55" t="s">
        <v>520</v>
      </c>
      <c r="D110" s="55" t="s">
        <v>521</v>
      </c>
      <c r="E110" s="55">
        <v>780514</v>
      </c>
      <c r="F110" s="55" t="s">
        <v>522</v>
      </c>
      <c r="G110" s="55" t="s">
        <v>458</v>
      </c>
      <c r="H110" s="55">
        <v>16000</v>
      </c>
    </row>
    <row r="111" spans="1:8" x14ac:dyDescent="0.35">
      <c r="A111" s="55">
        <v>228</v>
      </c>
      <c r="B111" s="55" t="s">
        <v>505</v>
      </c>
      <c r="C111" s="55" t="s">
        <v>523</v>
      </c>
      <c r="D111" s="55" t="s">
        <v>524</v>
      </c>
      <c r="E111" s="55">
        <v>690514</v>
      </c>
      <c r="F111" s="55" t="s">
        <v>525</v>
      </c>
      <c r="G111" s="55" t="s">
        <v>458</v>
      </c>
      <c r="H111" s="55">
        <v>19500</v>
      </c>
    </row>
    <row r="112" spans="1:8" x14ac:dyDescent="0.35">
      <c r="A112" s="55">
        <v>229</v>
      </c>
      <c r="B112" s="55" t="s">
        <v>505</v>
      </c>
      <c r="C112" s="55" t="s">
        <v>526</v>
      </c>
      <c r="D112" s="55" t="s">
        <v>527</v>
      </c>
      <c r="E112" s="55">
        <v>660809</v>
      </c>
      <c r="F112" s="55" t="s">
        <v>528</v>
      </c>
      <c r="G112" s="55" t="s">
        <v>458</v>
      </c>
      <c r="H112" s="55">
        <v>19000</v>
      </c>
    </row>
    <row r="113" spans="1:8" hidden="1" x14ac:dyDescent="0.35">
      <c r="A113" s="55">
        <v>230</v>
      </c>
      <c r="B113" s="55" t="s">
        <v>505</v>
      </c>
      <c r="C113" s="55" t="s">
        <v>623</v>
      </c>
      <c r="D113" s="55" t="s">
        <v>624</v>
      </c>
      <c r="E113" s="55">
        <v>810506</v>
      </c>
      <c r="F113" s="55" t="s">
        <v>625</v>
      </c>
      <c r="G113" s="55" t="s">
        <v>492</v>
      </c>
      <c r="H113" s="55">
        <v>16500</v>
      </c>
    </row>
    <row r="114" spans="1:8" hidden="1" x14ac:dyDescent="0.35">
      <c r="A114" s="55">
        <v>231</v>
      </c>
      <c r="B114" s="55" t="s">
        <v>505</v>
      </c>
      <c r="C114" s="55" t="s">
        <v>626</v>
      </c>
      <c r="D114" s="55" t="s">
        <v>627</v>
      </c>
      <c r="E114" s="55">
        <v>740121</v>
      </c>
      <c r="F114" s="55" t="s">
        <v>628</v>
      </c>
      <c r="G114" s="55" t="s">
        <v>492</v>
      </c>
      <c r="H114" s="55">
        <v>19000</v>
      </c>
    </row>
    <row r="115" spans="1:8" hidden="1" x14ac:dyDescent="0.35">
      <c r="A115" s="55">
        <v>232</v>
      </c>
      <c r="B115" s="55" t="s">
        <v>505</v>
      </c>
      <c r="C115" s="55" t="s">
        <v>629</v>
      </c>
      <c r="D115" s="55" t="s">
        <v>630</v>
      </c>
      <c r="E115" s="55">
        <v>750621</v>
      </c>
      <c r="F115" s="55" t="s">
        <v>631</v>
      </c>
      <c r="G115" s="55" t="s">
        <v>492</v>
      </c>
      <c r="H115" s="55">
        <v>17000</v>
      </c>
    </row>
    <row r="116" spans="1:8" hidden="1" x14ac:dyDescent="0.35">
      <c r="A116" s="55">
        <v>233</v>
      </c>
      <c r="B116" s="55" t="s">
        <v>505</v>
      </c>
      <c r="C116" s="55" t="s">
        <v>632</v>
      </c>
      <c r="D116" s="55" t="s">
        <v>633</v>
      </c>
      <c r="E116" s="55">
        <v>700531</v>
      </c>
      <c r="F116" s="55" t="s">
        <v>634</v>
      </c>
      <c r="G116" s="55" t="s">
        <v>492</v>
      </c>
      <c r="H116" s="55">
        <v>16000</v>
      </c>
    </row>
    <row r="117" spans="1:8" hidden="1" x14ac:dyDescent="0.35">
      <c r="A117" s="55">
        <v>234</v>
      </c>
      <c r="B117" s="55" t="s">
        <v>505</v>
      </c>
      <c r="C117" s="55" t="s">
        <v>635</v>
      </c>
      <c r="D117" s="55" t="s">
        <v>636</v>
      </c>
      <c r="E117" s="55">
        <v>660520</v>
      </c>
      <c r="F117" s="55" t="s">
        <v>637</v>
      </c>
      <c r="G117" s="55" t="s">
        <v>492</v>
      </c>
      <c r="H117" s="55">
        <v>16000</v>
      </c>
    </row>
    <row r="118" spans="1:8" x14ac:dyDescent="0.35">
      <c r="A118" s="55">
        <v>235</v>
      </c>
      <c r="B118" s="55" t="s">
        <v>505</v>
      </c>
      <c r="C118" s="55" t="s">
        <v>506</v>
      </c>
      <c r="D118" s="55" t="s">
        <v>529</v>
      </c>
      <c r="E118" s="55">
        <v>810523</v>
      </c>
      <c r="F118" s="55" t="s">
        <v>530</v>
      </c>
      <c r="G118" s="55" t="s">
        <v>458</v>
      </c>
      <c r="H118" s="55">
        <v>19000</v>
      </c>
    </row>
  </sheetData>
  <autoFilter ref="A5:H118" xr:uid="{5E5FF596-A92C-4458-9886-F6A31CAC700D}">
    <filterColumn colId="6">
      <filters>
        <filter val="Göteborg"/>
      </filters>
    </filterColumn>
  </autoFilter>
  <sortState xmlns:xlrd2="http://schemas.microsoft.com/office/spreadsheetml/2017/richdata2" ref="A6:H118">
    <sortCondition ref="A7:A118"/>
  </sortState>
  <pageMargins left="0.75" right="0.75" top="1" bottom="1" header="0.5" footer="0.5"/>
  <pageSetup paperSize="9" orientation="portrait" verticalDpi="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B89E-5296-4A73-97EE-2C0307454CCE}">
  <sheetPr codeName="Sheet1"/>
  <dimension ref="A3:F55"/>
  <sheetViews>
    <sheetView workbookViewId="0">
      <selection activeCell="C5" sqref="C5"/>
    </sheetView>
  </sheetViews>
  <sheetFormatPr defaultRowHeight="12.75" x14ac:dyDescent="0.2"/>
  <cols>
    <col min="1" max="1" width="13.85546875" bestFit="1" customWidth="1"/>
    <col min="2" max="2" width="9.85546875" bestFit="1" customWidth="1"/>
    <col min="3" max="3" width="11.42578125" bestFit="1" customWidth="1"/>
    <col min="4" max="4" width="8" bestFit="1" customWidth="1"/>
    <col min="5" max="5" width="16.7109375" bestFit="1" customWidth="1"/>
    <col min="6" max="6" width="17.42578125" bestFit="1" customWidth="1"/>
  </cols>
  <sheetData>
    <row r="3" spans="1:6" x14ac:dyDescent="0.2">
      <c r="A3" s="76" t="s">
        <v>399</v>
      </c>
      <c r="B3" s="76" t="s">
        <v>400</v>
      </c>
      <c r="C3" t="s">
        <v>961</v>
      </c>
      <c r="D3" t="s">
        <v>962</v>
      </c>
      <c r="E3" t="s">
        <v>965</v>
      </c>
      <c r="F3" t="s">
        <v>964</v>
      </c>
    </row>
    <row r="4" spans="1:6" x14ac:dyDescent="0.2">
      <c r="A4" t="s">
        <v>432</v>
      </c>
      <c r="B4" t="s">
        <v>403</v>
      </c>
      <c r="C4" s="80">
        <v>90000</v>
      </c>
      <c r="D4" s="81">
        <v>0.53412462908011871</v>
      </c>
      <c r="E4" s="80">
        <v>9000</v>
      </c>
      <c r="F4" s="80">
        <v>9000</v>
      </c>
    </row>
    <row r="5" spans="1:6" x14ac:dyDescent="0.2">
      <c r="B5" t="s">
        <v>421</v>
      </c>
      <c r="C5" s="80">
        <v>32000</v>
      </c>
      <c r="D5" s="81">
        <v>0.18991097922848665</v>
      </c>
      <c r="E5" s="80">
        <v>3200</v>
      </c>
      <c r="F5" s="80">
        <v>3200</v>
      </c>
    </row>
    <row r="6" spans="1:6" x14ac:dyDescent="0.2">
      <c r="B6" t="s">
        <v>408</v>
      </c>
      <c r="C6" s="80">
        <v>24500</v>
      </c>
      <c r="D6" s="81">
        <v>0.14540059347181009</v>
      </c>
      <c r="E6" s="80">
        <v>1225</v>
      </c>
      <c r="F6" s="80">
        <v>1225</v>
      </c>
    </row>
    <row r="7" spans="1:6" x14ac:dyDescent="0.2">
      <c r="B7" t="s">
        <v>406</v>
      </c>
      <c r="C7" s="80">
        <v>22000</v>
      </c>
      <c r="D7" s="81">
        <v>0.13056379821958458</v>
      </c>
      <c r="E7" s="80">
        <v>1100</v>
      </c>
      <c r="F7" s="80">
        <v>1100</v>
      </c>
    </row>
    <row r="8" spans="1:6" x14ac:dyDescent="0.2">
      <c r="A8" t="s">
        <v>956</v>
      </c>
      <c r="C8" s="80">
        <v>168500</v>
      </c>
      <c r="D8" s="81">
        <v>0.15318181818181817</v>
      </c>
      <c r="E8" s="80">
        <v>16850</v>
      </c>
      <c r="F8" s="80">
        <v>14525</v>
      </c>
    </row>
    <row r="9" spans="1:6" x14ac:dyDescent="0.2">
      <c r="C9" s="80"/>
      <c r="D9" s="81"/>
      <c r="E9" s="80"/>
      <c r="F9" s="80"/>
    </row>
    <row r="10" spans="1:6" x14ac:dyDescent="0.2">
      <c r="A10" t="s">
        <v>405</v>
      </c>
      <c r="B10" t="s">
        <v>421</v>
      </c>
      <c r="C10" s="80">
        <v>24500</v>
      </c>
      <c r="D10" s="81">
        <v>0.22580645161290322</v>
      </c>
      <c r="E10" s="80">
        <v>1225</v>
      </c>
      <c r="F10" s="80">
        <v>1225</v>
      </c>
    </row>
    <row r="11" spans="1:6" x14ac:dyDescent="0.2">
      <c r="B11" t="s">
        <v>408</v>
      </c>
      <c r="C11" s="80">
        <v>37000</v>
      </c>
      <c r="D11" s="81">
        <v>0.34101382488479265</v>
      </c>
      <c r="E11" s="80">
        <v>3700</v>
      </c>
      <c r="F11" s="80">
        <v>1850</v>
      </c>
    </row>
    <row r="12" spans="1:6" x14ac:dyDescent="0.2">
      <c r="B12" t="s">
        <v>406</v>
      </c>
      <c r="C12" s="80">
        <v>47000</v>
      </c>
      <c r="D12" s="81">
        <v>0.43317972350230416</v>
      </c>
      <c r="E12" s="80">
        <v>4700</v>
      </c>
      <c r="F12" s="80">
        <v>3950</v>
      </c>
    </row>
    <row r="13" spans="1:6" x14ac:dyDescent="0.2">
      <c r="A13" t="s">
        <v>955</v>
      </c>
      <c r="C13" s="80">
        <v>108500</v>
      </c>
      <c r="D13" s="81">
        <v>9.8636363636363633E-2</v>
      </c>
      <c r="E13" s="80">
        <v>10850</v>
      </c>
      <c r="F13" s="80">
        <v>7025</v>
      </c>
    </row>
    <row r="14" spans="1:6" x14ac:dyDescent="0.2">
      <c r="C14" s="80"/>
      <c r="D14" s="81"/>
      <c r="E14" s="80"/>
      <c r="F14" s="80"/>
    </row>
    <row r="15" spans="1:6" x14ac:dyDescent="0.2">
      <c r="A15" t="s">
        <v>410</v>
      </c>
      <c r="B15" t="s">
        <v>403</v>
      </c>
      <c r="C15" s="80">
        <v>71500</v>
      </c>
      <c r="D15" s="81">
        <v>0.65898617511520741</v>
      </c>
      <c r="E15" s="80">
        <v>7150</v>
      </c>
      <c r="F15" s="80">
        <v>5175</v>
      </c>
    </row>
    <row r="16" spans="1:6" x14ac:dyDescent="0.2">
      <c r="B16" t="s">
        <v>406</v>
      </c>
      <c r="C16" s="80">
        <v>37000</v>
      </c>
      <c r="D16" s="81">
        <v>0.34101382488479265</v>
      </c>
      <c r="E16" s="80">
        <v>3700</v>
      </c>
      <c r="F16" s="80">
        <v>1850</v>
      </c>
    </row>
    <row r="17" spans="1:6" x14ac:dyDescent="0.2">
      <c r="A17" t="s">
        <v>959</v>
      </c>
      <c r="C17" s="80">
        <v>108500</v>
      </c>
      <c r="D17" s="81">
        <v>9.8636363636363633E-2</v>
      </c>
      <c r="E17" s="80">
        <v>10850</v>
      </c>
      <c r="F17" s="80">
        <v>7025</v>
      </c>
    </row>
    <row r="18" spans="1:6" x14ac:dyDescent="0.2">
      <c r="C18" s="80"/>
      <c r="D18" s="81"/>
      <c r="E18" s="80"/>
      <c r="F18" s="80"/>
    </row>
    <row r="19" spans="1:6" x14ac:dyDescent="0.2">
      <c r="A19" t="s">
        <v>411</v>
      </c>
      <c r="B19" t="s">
        <v>403</v>
      </c>
      <c r="C19" s="80">
        <v>15000</v>
      </c>
      <c r="D19" s="81">
        <v>0.16042780748663102</v>
      </c>
      <c r="E19" s="80">
        <v>750</v>
      </c>
      <c r="F19" s="80">
        <v>750</v>
      </c>
    </row>
    <row r="20" spans="1:6" x14ac:dyDescent="0.2">
      <c r="B20" t="s">
        <v>421</v>
      </c>
      <c r="C20" s="80">
        <v>32000</v>
      </c>
      <c r="D20" s="81">
        <v>0.34224598930481281</v>
      </c>
      <c r="E20" s="80">
        <v>3200</v>
      </c>
      <c r="F20" s="80">
        <v>3200</v>
      </c>
    </row>
    <row r="21" spans="1:6" x14ac:dyDescent="0.2">
      <c r="B21" t="s">
        <v>408</v>
      </c>
      <c r="C21" s="80">
        <v>24500</v>
      </c>
      <c r="D21" s="81">
        <v>0.26203208556149732</v>
      </c>
      <c r="E21" s="80">
        <v>1225</v>
      </c>
      <c r="F21" s="80">
        <v>1225</v>
      </c>
    </row>
    <row r="22" spans="1:6" x14ac:dyDescent="0.2">
      <c r="B22" t="s">
        <v>406</v>
      </c>
      <c r="C22" s="80">
        <v>22000</v>
      </c>
      <c r="D22" s="81">
        <v>0.23529411764705882</v>
      </c>
      <c r="E22" s="80">
        <v>1100</v>
      </c>
      <c r="F22" s="80">
        <v>1100</v>
      </c>
    </row>
    <row r="23" spans="1:6" x14ac:dyDescent="0.2">
      <c r="A23" t="s">
        <v>951</v>
      </c>
      <c r="C23" s="80">
        <v>93500</v>
      </c>
      <c r="D23" s="81">
        <v>8.5000000000000006E-2</v>
      </c>
      <c r="E23" s="80">
        <v>9350</v>
      </c>
      <c r="F23" s="80">
        <v>6275</v>
      </c>
    </row>
    <row r="24" spans="1:6" x14ac:dyDescent="0.2">
      <c r="C24" s="80"/>
      <c r="D24" s="81"/>
      <c r="E24" s="80"/>
      <c r="F24" s="80"/>
    </row>
    <row r="25" spans="1:6" x14ac:dyDescent="0.2">
      <c r="A25" t="s">
        <v>412</v>
      </c>
      <c r="B25" t="s">
        <v>421</v>
      </c>
      <c r="C25" s="80">
        <v>24500</v>
      </c>
      <c r="D25" s="81">
        <v>0.22580645161290322</v>
      </c>
      <c r="E25" s="80">
        <v>1225</v>
      </c>
      <c r="F25" s="80">
        <v>1225</v>
      </c>
    </row>
    <row r="26" spans="1:6" x14ac:dyDescent="0.2">
      <c r="B26" t="s">
        <v>408</v>
      </c>
      <c r="C26" s="80">
        <v>37000</v>
      </c>
      <c r="D26" s="81">
        <v>0.34101382488479265</v>
      </c>
      <c r="E26" s="80">
        <v>3700</v>
      </c>
      <c r="F26" s="80">
        <v>1850</v>
      </c>
    </row>
    <row r="27" spans="1:6" x14ac:dyDescent="0.2">
      <c r="B27" t="s">
        <v>406</v>
      </c>
      <c r="C27" s="80">
        <v>47000</v>
      </c>
      <c r="D27" s="81">
        <v>0.43317972350230416</v>
      </c>
      <c r="E27" s="80">
        <v>4700</v>
      </c>
      <c r="F27" s="80">
        <v>3950</v>
      </c>
    </row>
    <row r="28" spans="1:6" x14ac:dyDescent="0.2">
      <c r="A28" t="s">
        <v>958</v>
      </c>
      <c r="C28" s="80">
        <v>108500</v>
      </c>
      <c r="D28" s="81">
        <v>9.8636363636363633E-2</v>
      </c>
      <c r="E28" s="80">
        <v>10850</v>
      </c>
      <c r="F28" s="80">
        <v>7025</v>
      </c>
    </row>
    <row r="29" spans="1:6" x14ac:dyDescent="0.2">
      <c r="C29" s="80"/>
      <c r="D29" s="81"/>
      <c r="E29" s="80"/>
      <c r="F29" s="80"/>
    </row>
    <row r="30" spans="1:6" x14ac:dyDescent="0.2">
      <c r="A30" t="s">
        <v>413</v>
      </c>
      <c r="B30" t="s">
        <v>403</v>
      </c>
      <c r="C30" s="80">
        <v>71500</v>
      </c>
      <c r="D30" s="81">
        <v>0.65898617511520741</v>
      </c>
      <c r="E30" s="80">
        <v>7150</v>
      </c>
      <c r="F30" s="80">
        <v>5175</v>
      </c>
    </row>
    <row r="31" spans="1:6" x14ac:dyDescent="0.2">
      <c r="B31" t="s">
        <v>406</v>
      </c>
      <c r="C31" s="80">
        <v>37000</v>
      </c>
      <c r="D31" s="81">
        <v>0.34101382488479265</v>
      </c>
      <c r="E31" s="80">
        <v>3700</v>
      </c>
      <c r="F31" s="80">
        <v>1850</v>
      </c>
    </row>
    <row r="32" spans="1:6" x14ac:dyDescent="0.2">
      <c r="A32" t="s">
        <v>957</v>
      </c>
      <c r="C32" s="80">
        <v>108500</v>
      </c>
      <c r="D32" s="81">
        <v>9.8636363636363633E-2</v>
      </c>
      <c r="E32" s="80">
        <v>10850</v>
      </c>
      <c r="F32" s="80">
        <v>7025</v>
      </c>
    </row>
    <row r="33" spans="1:6" x14ac:dyDescent="0.2">
      <c r="C33" s="80"/>
      <c r="D33" s="81"/>
      <c r="E33" s="80"/>
      <c r="F33" s="80"/>
    </row>
    <row r="34" spans="1:6" x14ac:dyDescent="0.2">
      <c r="A34" t="s">
        <v>414</v>
      </c>
      <c r="B34" t="s">
        <v>403</v>
      </c>
      <c r="C34" s="80">
        <v>15000</v>
      </c>
      <c r="D34" s="81">
        <v>0.16042780748663102</v>
      </c>
      <c r="E34" s="80">
        <v>750</v>
      </c>
      <c r="F34" s="80">
        <v>750</v>
      </c>
    </row>
    <row r="35" spans="1:6" x14ac:dyDescent="0.2">
      <c r="B35" t="s">
        <v>421</v>
      </c>
      <c r="C35" s="80">
        <v>32000</v>
      </c>
      <c r="D35" s="81">
        <v>0.34224598930481281</v>
      </c>
      <c r="E35" s="80">
        <v>3200</v>
      </c>
      <c r="F35" s="80">
        <v>3200</v>
      </c>
    </row>
    <row r="36" spans="1:6" x14ac:dyDescent="0.2">
      <c r="B36" t="s">
        <v>408</v>
      </c>
      <c r="C36" s="80">
        <v>24500</v>
      </c>
      <c r="D36" s="81">
        <v>0.26203208556149732</v>
      </c>
      <c r="E36" s="80">
        <v>1225</v>
      </c>
      <c r="F36" s="80">
        <v>1225</v>
      </c>
    </row>
    <row r="37" spans="1:6" x14ac:dyDescent="0.2">
      <c r="B37" t="s">
        <v>406</v>
      </c>
      <c r="C37" s="80">
        <v>22000</v>
      </c>
      <c r="D37" s="81">
        <v>0.23529411764705882</v>
      </c>
      <c r="E37" s="80">
        <v>1100</v>
      </c>
      <c r="F37" s="80">
        <v>1100</v>
      </c>
    </row>
    <row r="38" spans="1:6" x14ac:dyDescent="0.2">
      <c r="A38" t="s">
        <v>954</v>
      </c>
      <c r="C38" s="80">
        <v>93500</v>
      </c>
      <c r="D38" s="81">
        <v>8.5000000000000006E-2</v>
      </c>
      <c r="E38" s="80">
        <v>9350</v>
      </c>
      <c r="F38" s="80">
        <v>6275</v>
      </c>
    </row>
    <row r="39" spans="1:6" x14ac:dyDescent="0.2">
      <c r="C39" s="80"/>
      <c r="D39" s="81"/>
      <c r="E39" s="80"/>
      <c r="F39" s="80"/>
    </row>
    <row r="40" spans="1:6" x14ac:dyDescent="0.2">
      <c r="A40" t="s">
        <v>415</v>
      </c>
      <c r="B40" t="s">
        <v>421</v>
      </c>
      <c r="C40" s="80">
        <v>24500</v>
      </c>
      <c r="D40" s="81">
        <v>0.22580645161290322</v>
      </c>
      <c r="E40" s="80">
        <v>1225</v>
      </c>
      <c r="F40" s="80">
        <v>1225</v>
      </c>
    </row>
    <row r="41" spans="1:6" x14ac:dyDescent="0.2">
      <c r="B41" t="s">
        <v>408</v>
      </c>
      <c r="C41" s="80">
        <v>37000</v>
      </c>
      <c r="D41" s="81">
        <v>0.34101382488479265</v>
      </c>
      <c r="E41" s="80">
        <v>3700</v>
      </c>
      <c r="F41" s="80">
        <v>1850</v>
      </c>
    </row>
    <row r="42" spans="1:6" x14ac:dyDescent="0.2">
      <c r="B42" t="s">
        <v>406</v>
      </c>
      <c r="C42" s="80">
        <v>47000</v>
      </c>
      <c r="D42" s="81">
        <v>0.43317972350230416</v>
      </c>
      <c r="E42" s="80">
        <v>4700</v>
      </c>
      <c r="F42" s="80">
        <v>3950</v>
      </c>
    </row>
    <row r="43" spans="1:6" x14ac:dyDescent="0.2">
      <c r="A43" t="s">
        <v>952</v>
      </c>
      <c r="C43" s="80">
        <v>108500</v>
      </c>
      <c r="D43" s="81">
        <v>9.8636363636363633E-2</v>
      </c>
      <c r="E43" s="80">
        <v>10850</v>
      </c>
      <c r="F43" s="80">
        <v>7025</v>
      </c>
    </row>
    <row r="44" spans="1:6" x14ac:dyDescent="0.2">
      <c r="C44" s="80"/>
      <c r="D44" s="81"/>
      <c r="E44" s="80"/>
      <c r="F44" s="80"/>
    </row>
    <row r="45" spans="1:6" x14ac:dyDescent="0.2">
      <c r="A45" t="s">
        <v>416</v>
      </c>
      <c r="B45" t="s">
        <v>403</v>
      </c>
      <c r="C45" s="80">
        <v>71500</v>
      </c>
      <c r="D45" s="81">
        <v>0.65898617511520741</v>
      </c>
      <c r="E45" s="80">
        <v>7150</v>
      </c>
      <c r="F45" s="80">
        <v>5175</v>
      </c>
    </row>
    <row r="46" spans="1:6" x14ac:dyDescent="0.2">
      <c r="B46" t="s">
        <v>406</v>
      </c>
      <c r="C46" s="80">
        <v>37000</v>
      </c>
      <c r="D46" s="81">
        <v>0.34101382488479265</v>
      </c>
      <c r="E46" s="80">
        <v>3700</v>
      </c>
      <c r="F46" s="80">
        <v>1850</v>
      </c>
    </row>
    <row r="47" spans="1:6" x14ac:dyDescent="0.2">
      <c r="A47" t="s">
        <v>960</v>
      </c>
      <c r="C47" s="80">
        <v>108500</v>
      </c>
      <c r="D47" s="81">
        <v>9.8636363636363633E-2</v>
      </c>
      <c r="E47" s="80">
        <v>10850</v>
      </c>
      <c r="F47" s="80">
        <v>7025</v>
      </c>
    </row>
    <row r="48" spans="1:6" x14ac:dyDescent="0.2">
      <c r="C48" s="80"/>
      <c r="D48" s="81"/>
      <c r="E48" s="80"/>
      <c r="F48" s="80"/>
    </row>
    <row r="49" spans="1:6" x14ac:dyDescent="0.2">
      <c r="A49" t="s">
        <v>417</v>
      </c>
      <c r="B49" t="s">
        <v>403</v>
      </c>
      <c r="C49" s="80">
        <v>15000</v>
      </c>
      <c r="D49" s="81">
        <v>0.16042780748663102</v>
      </c>
      <c r="E49" s="80">
        <v>750</v>
      </c>
      <c r="F49" s="80">
        <v>750</v>
      </c>
    </row>
    <row r="50" spans="1:6" x14ac:dyDescent="0.2">
      <c r="B50" t="s">
        <v>421</v>
      </c>
      <c r="C50" s="80">
        <v>32000</v>
      </c>
      <c r="D50" s="81">
        <v>0.34224598930481281</v>
      </c>
      <c r="E50" s="80">
        <v>3200</v>
      </c>
      <c r="F50" s="80">
        <v>3200</v>
      </c>
    </row>
    <row r="51" spans="1:6" x14ac:dyDescent="0.2">
      <c r="B51" t="s">
        <v>408</v>
      </c>
      <c r="C51" s="80">
        <v>24500</v>
      </c>
      <c r="D51" s="81">
        <v>0.26203208556149732</v>
      </c>
      <c r="E51" s="80">
        <v>1225</v>
      </c>
      <c r="F51" s="80">
        <v>1225</v>
      </c>
    </row>
    <row r="52" spans="1:6" x14ac:dyDescent="0.2">
      <c r="B52" t="s">
        <v>406</v>
      </c>
      <c r="C52" s="80">
        <v>22000</v>
      </c>
      <c r="D52" s="81">
        <v>0.23529411764705882</v>
      </c>
      <c r="E52" s="80">
        <v>1100</v>
      </c>
      <c r="F52" s="80">
        <v>1100</v>
      </c>
    </row>
    <row r="53" spans="1:6" x14ac:dyDescent="0.2">
      <c r="A53" t="s">
        <v>953</v>
      </c>
      <c r="C53" s="80">
        <v>93500</v>
      </c>
      <c r="D53" s="81">
        <v>8.5000000000000006E-2</v>
      </c>
      <c r="E53" s="80">
        <v>9350</v>
      </c>
      <c r="F53" s="80">
        <v>6275</v>
      </c>
    </row>
    <row r="54" spans="1:6" x14ac:dyDescent="0.2">
      <c r="C54" s="80"/>
      <c r="D54" s="81"/>
      <c r="E54" s="80"/>
      <c r="F54" s="80"/>
    </row>
    <row r="55" spans="1:6" x14ac:dyDescent="0.2">
      <c r="A55" t="s">
        <v>781</v>
      </c>
      <c r="C55" s="80">
        <v>1100000</v>
      </c>
      <c r="D55" s="81">
        <v>1</v>
      </c>
      <c r="E55" s="80">
        <v>110000</v>
      </c>
      <c r="F55" s="80">
        <v>75500</v>
      </c>
    </row>
  </sheetData>
  <sortState xmlns:xlrd2="http://schemas.microsoft.com/office/spreadsheetml/2017/richdata2" ref="A3:C55">
    <sortCondition ref="A3" customList="Januari,Februari,Mars,April,Maj,Juni,Juli,Augusti,September,Oktober,November,December"/>
  </sortState>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46CDF-FF18-400F-B634-5E3A43859EE0}">
  <sheetPr codeName="Sheet2"/>
  <dimension ref="A3:D9"/>
  <sheetViews>
    <sheetView workbookViewId="0">
      <selection activeCell="A5" sqref="A5"/>
    </sheetView>
  </sheetViews>
  <sheetFormatPr defaultRowHeight="12.75" x14ac:dyDescent="0.2"/>
  <cols>
    <col min="1" max="1" width="14.5703125" bestFit="1" customWidth="1"/>
    <col min="2" max="2" width="17" bestFit="1" customWidth="1"/>
    <col min="3" max="3" width="7" bestFit="1" customWidth="1"/>
    <col min="4" max="4" width="11.7109375" bestFit="1" customWidth="1"/>
    <col min="5" max="6" width="7" bestFit="1" customWidth="1"/>
    <col min="7" max="7" width="10.140625" bestFit="1" customWidth="1"/>
    <col min="8" max="8" width="11.7109375" bestFit="1" customWidth="1"/>
  </cols>
  <sheetData>
    <row r="3" spans="1:4" x14ac:dyDescent="0.2">
      <c r="A3" s="76" t="s">
        <v>949</v>
      </c>
      <c r="B3" s="76" t="s">
        <v>950</v>
      </c>
    </row>
    <row r="4" spans="1:4" x14ac:dyDescent="0.2">
      <c r="A4" s="76" t="s">
        <v>948</v>
      </c>
      <c r="B4" t="s">
        <v>966</v>
      </c>
      <c r="C4" t="s">
        <v>969</v>
      </c>
      <c r="D4" t="s">
        <v>781</v>
      </c>
    </row>
    <row r="5" spans="1:4" x14ac:dyDescent="0.2">
      <c r="A5" s="83" t="s">
        <v>970</v>
      </c>
      <c r="B5" s="79"/>
      <c r="C5" s="79">
        <v>342500</v>
      </c>
      <c r="D5" s="79">
        <v>342500</v>
      </c>
    </row>
    <row r="6" spans="1:4" x14ac:dyDescent="0.2">
      <c r="A6" s="83" t="s">
        <v>971</v>
      </c>
      <c r="B6" s="79"/>
      <c r="C6" s="79">
        <v>217000</v>
      </c>
      <c r="D6" s="79">
        <v>217000</v>
      </c>
    </row>
    <row r="7" spans="1:4" x14ac:dyDescent="0.2">
      <c r="A7" s="83" t="s">
        <v>967</v>
      </c>
      <c r="B7" s="79">
        <v>193000</v>
      </c>
      <c r="C7" s="79"/>
      <c r="D7" s="79">
        <v>193000</v>
      </c>
    </row>
    <row r="8" spans="1:4" x14ac:dyDescent="0.2">
      <c r="A8" s="83" t="s">
        <v>968</v>
      </c>
      <c r="B8" s="79">
        <v>347500</v>
      </c>
      <c r="C8" s="79"/>
      <c r="D8" s="79">
        <v>347500</v>
      </c>
    </row>
    <row r="9" spans="1:4" x14ac:dyDescent="0.2">
      <c r="A9" s="83" t="s">
        <v>781</v>
      </c>
      <c r="B9" s="79">
        <v>540500</v>
      </c>
      <c r="C9" s="79">
        <v>559500</v>
      </c>
      <c r="D9" s="79">
        <v>1100000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3ED19-84C5-40C4-ADF4-126AEC1D9650}">
  <sheetPr codeName="Sheet4"/>
  <dimension ref="A1:F24"/>
  <sheetViews>
    <sheetView workbookViewId="0">
      <selection activeCell="B6" sqref="B6"/>
    </sheetView>
  </sheetViews>
  <sheetFormatPr defaultRowHeight="12.75" x14ac:dyDescent="0.2"/>
  <cols>
    <col min="1" max="1" width="14.5703125" bestFit="1" customWidth="1"/>
    <col min="2" max="2" width="17" bestFit="1" customWidth="1"/>
    <col min="3" max="3" width="7.42578125" bestFit="1" customWidth="1"/>
    <col min="4" max="4" width="7.85546875" bestFit="1" customWidth="1"/>
    <col min="5" max="5" width="8.85546875" bestFit="1" customWidth="1"/>
    <col min="6" max="6" width="11.7109375" bestFit="1" customWidth="1"/>
  </cols>
  <sheetData>
    <row r="1" spans="1:6" x14ac:dyDescent="0.2">
      <c r="A1" s="76" t="s">
        <v>949</v>
      </c>
      <c r="B1" s="76" t="s">
        <v>950</v>
      </c>
    </row>
    <row r="2" spans="1:6" x14ac:dyDescent="0.2">
      <c r="A2" s="76" t="s">
        <v>948</v>
      </c>
      <c r="B2" t="s">
        <v>422</v>
      </c>
      <c r="C2" t="s">
        <v>402</v>
      </c>
      <c r="D2" t="s">
        <v>420</v>
      </c>
      <c r="E2" t="s">
        <v>418</v>
      </c>
      <c r="F2" t="s">
        <v>781</v>
      </c>
    </row>
    <row r="3" spans="1:6" x14ac:dyDescent="0.2">
      <c r="A3" s="77" t="s">
        <v>432</v>
      </c>
      <c r="B3" s="79">
        <v>24500</v>
      </c>
      <c r="C3" s="79">
        <v>90000</v>
      </c>
      <c r="D3" s="79">
        <v>32000</v>
      </c>
      <c r="E3" s="79">
        <v>22000</v>
      </c>
      <c r="F3" s="79">
        <v>168500</v>
      </c>
    </row>
    <row r="4" spans="1:6" x14ac:dyDescent="0.2">
      <c r="A4" s="78" t="s">
        <v>966</v>
      </c>
      <c r="B4" s="79">
        <v>24500</v>
      </c>
      <c r="C4" s="79">
        <v>90000</v>
      </c>
      <c r="D4" s="79">
        <v>32000</v>
      </c>
      <c r="E4" s="79">
        <v>22000</v>
      </c>
      <c r="F4" s="79">
        <v>168500</v>
      </c>
    </row>
    <row r="5" spans="1:6" x14ac:dyDescent="0.2">
      <c r="A5" s="77" t="s">
        <v>405</v>
      </c>
      <c r="B5" s="79">
        <v>24500</v>
      </c>
      <c r="C5" s="79">
        <v>30000</v>
      </c>
      <c r="D5" s="79">
        <v>32000</v>
      </c>
      <c r="E5" s="79">
        <v>22000</v>
      </c>
      <c r="F5" s="79">
        <v>108500</v>
      </c>
    </row>
    <row r="6" spans="1:6" x14ac:dyDescent="0.2">
      <c r="A6" s="78" t="s">
        <v>966</v>
      </c>
      <c r="B6" s="79">
        <v>24500</v>
      </c>
      <c r="C6" s="79">
        <v>30000</v>
      </c>
      <c r="D6" s="79">
        <v>32000</v>
      </c>
      <c r="E6" s="79">
        <v>22000</v>
      </c>
      <c r="F6" s="79">
        <v>108500</v>
      </c>
    </row>
    <row r="7" spans="1:6" x14ac:dyDescent="0.2">
      <c r="A7" s="77" t="s">
        <v>410</v>
      </c>
      <c r="B7" s="79">
        <v>24500</v>
      </c>
      <c r="C7" s="79">
        <v>30000</v>
      </c>
      <c r="D7" s="79">
        <v>32000</v>
      </c>
      <c r="E7" s="79">
        <v>22000</v>
      </c>
      <c r="F7" s="79">
        <v>108500</v>
      </c>
    </row>
    <row r="8" spans="1:6" x14ac:dyDescent="0.2">
      <c r="A8" s="78" t="s">
        <v>966</v>
      </c>
      <c r="B8" s="79">
        <v>24500</v>
      </c>
      <c r="C8" s="79">
        <v>30000</v>
      </c>
      <c r="D8" s="79">
        <v>32000</v>
      </c>
      <c r="E8" s="79">
        <v>22000</v>
      </c>
      <c r="F8" s="79">
        <v>108500</v>
      </c>
    </row>
    <row r="9" spans="1:6" x14ac:dyDescent="0.2">
      <c r="A9" s="77" t="s">
        <v>411</v>
      </c>
      <c r="B9" s="79">
        <v>24500</v>
      </c>
      <c r="C9" s="79">
        <v>15000</v>
      </c>
      <c r="D9" s="79">
        <v>32000</v>
      </c>
      <c r="E9" s="79">
        <v>22000</v>
      </c>
      <c r="F9" s="79">
        <v>93500</v>
      </c>
    </row>
    <row r="10" spans="1:6" x14ac:dyDescent="0.2">
      <c r="A10" s="78" t="s">
        <v>966</v>
      </c>
      <c r="B10" s="79">
        <v>24500</v>
      </c>
      <c r="C10" s="79">
        <v>15000</v>
      </c>
      <c r="D10" s="79">
        <v>32000</v>
      </c>
      <c r="E10" s="79">
        <v>22000</v>
      </c>
      <c r="F10" s="79">
        <v>93500</v>
      </c>
    </row>
    <row r="11" spans="1:6" x14ac:dyDescent="0.2">
      <c r="A11" s="77" t="s">
        <v>412</v>
      </c>
      <c r="B11" s="79">
        <v>24500</v>
      </c>
      <c r="C11" s="79">
        <v>30000</v>
      </c>
      <c r="D11" s="79">
        <v>32000</v>
      </c>
      <c r="E11" s="79">
        <v>22000</v>
      </c>
      <c r="F11" s="79">
        <v>108500</v>
      </c>
    </row>
    <row r="12" spans="1:6" x14ac:dyDescent="0.2">
      <c r="A12" s="78" t="s">
        <v>966</v>
      </c>
      <c r="B12" s="79">
        <v>24500</v>
      </c>
      <c r="C12" s="79">
        <v>15000</v>
      </c>
      <c r="D12" s="79"/>
      <c r="E12" s="79">
        <v>22000</v>
      </c>
      <c r="F12" s="79">
        <v>61500</v>
      </c>
    </row>
    <row r="13" spans="1:6" x14ac:dyDescent="0.2">
      <c r="A13" s="78" t="s">
        <v>969</v>
      </c>
      <c r="B13" s="79"/>
      <c r="C13" s="79">
        <v>15000</v>
      </c>
      <c r="D13" s="79">
        <v>32000</v>
      </c>
      <c r="E13" s="79"/>
      <c r="F13" s="79">
        <v>47000</v>
      </c>
    </row>
    <row r="14" spans="1:6" x14ac:dyDescent="0.2">
      <c r="A14" s="77" t="s">
        <v>413</v>
      </c>
      <c r="B14" s="79">
        <v>24500</v>
      </c>
      <c r="C14" s="79">
        <v>30000</v>
      </c>
      <c r="D14" s="79">
        <v>32000</v>
      </c>
      <c r="E14" s="79">
        <v>22000</v>
      </c>
      <c r="F14" s="79">
        <v>108500</v>
      </c>
    </row>
    <row r="15" spans="1:6" x14ac:dyDescent="0.2">
      <c r="A15" s="78" t="s">
        <v>969</v>
      </c>
      <c r="B15" s="79">
        <v>24500</v>
      </c>
      <c r="C15" s="79">
        <v>30000</v>
      </c>
      <c r="D15" s="79">
        <v>32000</v>
      </c>
      <c r="E15" s="79">
        <v>22000</v>
      </c>
      <c r="F15" s="79">
        <v>108500</v>
      </c>
    </row>
    <row r="16" spans="1:6" x14ac:dyDescent="0.2">
      <c r="A16" s="77" t="s">
        <v>414</v>
      </c>
      <c r="B16" s="79">
        <v>24500</v>
      </c>
      <c r="C16" s="79">
        <v>15000</v>
      </c>
      <c r="D16" s="79">
        <v>32000</v>
      </c>
      <c r="E16" s="79">
        <v>22000</v>
      </c>
      <c r="F16" s="79">
        <v>93500</v>
      </c>
    </row>
    <row r="17" spans="1:6" x14ac:dyDescent="0.2">
      <c r="A17" s="78" t="s">
        <v>969</v>
      </c>
      <c r="B17" s="79">
        <v>24500</v>
      </c>
      <c r="C17" s="79">
        <v>15000</v>
      </c>
      <c r="D17" s="79">
        <v>32000</v>
      </c>
      <c r="E17" s="79">
        <v>22000</v>
      </c>
      <c r="F17" s="79">
        <v>93500</v>
      </c>
    </row>
    <row r="18" spans="1:6" x14ac:dyDescent="0.2">
      <c r="A18" s="77" t="s">
        <v>415</v>
      </c>
      <c r="B18" s="79">
        <v>24500</v>
      </c>
      <c r="C18" s="79">
        <v>30000</v>
      </c>
      <c r="D18" s="79">
        <v>32000</v>
      </c>
      <c r="E18" s="79">
        <v>22000</v>
      </c>
      <c r="F18" s="79">
        <v>108500</v>
      </c>
    </row>
    <row r="19" spans="1:6" x14ac:dyDescent="0.2">
      <c r="A19" s="78" t="s">
        <v>969</v>
      </c>
      <c r="B19" s="79">
        <v>24500</v>
      </c>
      <c r="C19" s="79">
        <v>30000</v>
      </c>
      <c r="D19" s="79">
        <v>32000</v>
      </c>
      <c r="E19" s="79">
        <v>22000</v>
      </c>
      <c r="F19" s="79">
        <v>108500</v>
      </c>
    </row>
    <row r="20" spans="1:6" x14ac:dyDescent="0.2">
      <c r="A20" s="77" t="s">
        <v>416</v>
      </c>
      <c r="B20" s="79">
        <v>24500</v>
      </c>
      <c r="C20" s="79">
        <v>30000</v>
      </c>
      <c r="D20" s="79">
        <v>32000</v>
      </c>
      <c r="E20" s="79">
        <v>22000</v>
      </c>
      <c r="F20" s="79">
        <v>108500</v>
      </c>
    </row>
    <row r="21" spans="1:6" x14ac:dyDescent="0.2">
      <c r="A21" s="78" t="s">
        <v>969</v>
      </c>
      <c r="B21" s="79">
        <v>24500</v>
      </c>
      <c r="C21" s="79">
        <v>30000</v>
      </c>
      <c r="D21" s="79">
        <v>32000</v>
      </c>
      <c r="E21" s="79">
        <v>22000</v>
      </c>
      <c r="F21" s="79">
        <v>108500</v>
      </c>
    </row>
    <row r="22" spans="1:6" x14ac:dyDescent="0.2">
      <c r="A22" s="77" t="s">
        <v>417</v>
      </c>
      <c r="B22" s="79">
        <v>24500</v>
      </c>
      <c r="C22" s="79">
        <v>15000</v>
      </c>
      <c r="D22" s="79">
        <v>32000</v>
      </c>
      <c r="E22" s="79">
        <v>22000</v>
      </c>
      <c r="F22" s="79">
        <v>93500</v>
      </c>
    </row>
    <row r="23" spans="1:6" x14ac:dyDescent="0.2">
      <c r="A23" s="78" t="s">
        <v>969</v>
      </c>
      <c r="B23" s="79">
        <v>24500</v>
      </c>
      <c r="C23" s="79">
        <v>15000</v>
      </c>
      <c r="D23" s="79">
        <v>32000</v>
      </c>
      <c r="E23" s="79">
        <v>22000</v>
      </c>
      <c r="F23" s="79">
        <v>93500</v>
      </c>
    </row>
    <row r="24" spans="1:6" x14ac:dyDescent="0.2">
      <c r="A24" s="77" t="s">
        <v>781</v>
      </c>
      <c r="B24" s="79">
        <v>245000</v>
      </c>
      <c r="C24" s="79">
        <v>315000</v>
      </c>
      <c r="D24" s="79">
        <v>320000</v>
      </c>
      <c r="E24" s="79">
        <v>220000</v>
      </c>
      <c r="F24" s="79">
        <v>1100000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8"/>
  <dimension ref="A1:I53"/>
  <sheetViews>
    <sheetView topLeftCell="A2" workbookViewId="0">
      <selection activeCell="D7" sqref="D7"/>
    </sheetView>
  </sheetViews>
  <sheetFormatPr defaultRowHeight="12.75" x14ac:dyDescent="0.2"/>
  <cols>
    <col min="1" max="1" width="10.140625" customWidth="1"/>
    <col min="2" max="2" width="11.42578125" customWidth="1"/>
    <col min="3" max="3" width="15.140625" bestFit="1" customWidth="1"/>
    <col min="4" max="4" width="10" bestFit="1" customWidth="1"/>
    <col min="5" max="5" width="9.7109375" customWidth="1"/>
    <col min="6" max="6" width="9.28515625" customWidth="1"/>
    <col min="7" max="7" width="10.140625" bestFit="1" customWidth="1"/>
  </cols>
  <sheetData>
    <row r="1" spans="1:9" s="21" customFormat="1" x14ac:dyDescent="0.2">
      <c r="A1" s="65" t="s">
        <v>396</v>
      </c>
      <c r="B1" s="66" t="s">
        <v>397</v>
      </c>
      <c r="C1" s="67" t="s">
        <v>398</v>
      </c>
      <c r="D1" s="68" t="s">
        <v>399</v>
      </c>
      <c r="E1" s="68" t="s">
        <v>400</v>
      </c>
      <c r="F1" s="66" t="s">
        <v>401</v>
      </c>
      <c r="G1" s="66" t="s">
        <v>446</v>
      </c>
      <c r="H1" s="75" t="s">
        <v>947</v>
      </c>
      <c r="I1" s="82" t="s">
        <v>963</v>
      </c>
    </row>
    <row r="2" spans="1:9" x14ac:dyDescent="0.2">
      <c r="A2" s="57">
        <v>1</v>
      </c>
      <c r="B2" s="58" t="s">
        <v>402</v>
      </c>
      <c r="C2" s="59">
        <v>90000</v>
      </c>
      <c r="D2" s="58" t="s">
        <v>432</v>
      </c>
      <c r="E2" s="58" t="s">
        <v>403</v>
      </c>
      <c r="F2" s="58" t="s">
        <v>404</v>
      </c>
      <c r="G2" s="60">
        <v>41518</v>
      </c>
      <c r="H2" s="73">
        <f>Table1[[#This Row],[Belopp]]*0.25</f>
        <v>22500</v>
      </c>
      <c r="I2" s="74">
        <f>IF(Table1[[#This Row],[Belopp]]&gt;30000,Table1[[#This Row],[Belopp]]*0.1,Table1[[#This Row],[Belopp]]*0.05)</f>
        <v>9000</v>
      </c>
    </row>
    <row r="3" spans="1:9" x14ac:dyDescent="0.2">
      <c r="A3" s="57">
        <v>4</v>
      </c>
      <c r="B3" s="58" t="s">
        <v>420</v>
      </c>
      <c r="C3" s="59">
        <v>32000</v>
      </c>
      <c r="D3" s="58" t="s">
        <v>419</v>
      </c>
      <c r="E3" s="58" t="s">
        <v>421</v>
      </c>
      <c r="F3" s="58" t="s">
        <v>409</v>
      </c>
      <c r="G3" s="60">
        <v>41524</v>
      </c>
      <c r="H3" s="73">
        <f>Table1[[#This Row],[Belopp]]*0.25</f>
        <v>8000</v>
      </c>
      <c r="I3" s="74">
        <f>IF(Table1[[#This Row],[Belopp]]&gt;30000,Table1[[#This Row],[Belopp]]*0.1,Table1[[#This Row],[Belopp]]*0.05)</f>
        <v>3200</v>
      </c>
    </row>
    <row r="4" spans="1:9" x14ac:dyDescent="0.2">
      <c r="A4" s="57">
        <v>3</v>
      </c>
      <c r="B4" s="58" t="s">
        <v>422</v>
      </c>
      <c r="C4" s="59">
        <v>24500</v>
      </c>
      <c r="D4" s="58" t="s">
        <v>419</v>
      </c>
      <c r="E4" s="58" t="s">
        <v>408</v>
      </c>
      <c r="F4" s="58" t="s">
        <v>409</v>
      </c>
      <c r="G4" s="60">
        <v>41530</v>
      </c>
      <c r="H4" s="73">
        <f>Table1[[#This Row],[Belopp]]*0.25</f>
        <v>6125</v>
      </c>
      <c r="I4" s="74">
        <f>IF(Table1[[#This Row],[Belopp]]&gt;30000,Table1[[#This Row],[Belopp]]*0.1,Table1[[#This Row],[Belopp]]*0.05)</f>
        <v>1225</v>
      </c>
    </row>
    <row r="5" spans="1:9" x14ac:dyDescent="0.2">
      <c r="A5" s="57">
        <v>2</v>
      </c>
      <c r="B5" s="58" t="s">
        <v>418</v>
      </c>
      <c r="C5" s="59">
        <v>22000</v>
      </c>
      <c r="D5" s="58" t="s">
        <v>419</v>
      </c>
      <c r="E5" s="58" t="s">
        <v>406</v>
      </c>
      <c r="F5" s="58" t="s">
        <v>407</v>
      </c>
      <c r="G5" s="60">
        <v>41536</v>
      </c>
      <c r="H5" s="73">
        <f>Table1[[#This Row],[Belopp]]*0.25</f>
        <v>5500</v>
      </c>
      <c r="I5" s="74">
        <f>IF(Table1[[#This Row],[Belopp]]&gt;30000,Table1[[#This Row],[Belopp]]*0.1,Table1[[#This Row],[Belopp]]*0.05)</f>
        <v>1100</v>
      </c>
    </row>
    <row r="6" spans="1:9" x14ac:dyDescent="0.2">
      <c r="A6" s="57">
        <v>7</v>
      </c>
      <c r="B6" s="58" t="s">
        <v>422</v>
      </c>
      <c r="C6" s="59">
        <v>24500</v>
      </c>
      <c r="D6" s="58" t="s">
        <v>405</v>
      </c>
      <c r="E6" s="58" t="s">
        <v>421</v>
      </c>
      <c r="F6" s="58" t="s">
        <v>409</v>
      </c>
      <c r="G6" s="60">
        <v>41542</v>
      </c>
      <c r="H6" s="73">
        <f>Table1[[#This Row],[Belopp]]*0.25</f>
        <v>6125</v>
      </c>
      <c r="I6" s="74">
        <f>IF(Table1[[#This Row],[Belopp]]&gt;30000,Table1[[#This Row],[Belopp]]*0.1,Table1[[#This Row],[Belopp]]*0.05)</f>
        <v>1225</v>
      </c>
    </row>
    <row r="7" spans="1:9" x14ac:dyDescent="0.2">
      <c r="A7" s="57">
        <v>9</v>
      </c>
      <c r="B7" s="58" t="s">
        <v>402</v>
      </c>
      <c r="C7" s="59">
        <v>15000</v>
      </c>
      <c r="D7" s="58" t="s">
        <v>405</v>
      </c>
      <c r="E7" s="58" t="s">
        <v>408</v>
      </c>
      <c r="F7" s="58" t="s">
        <v>409</v>
      </c>
      <c r="G7" s="60">
        <v>41548</v>
      </c>
      <c r="H7" s="73">
        <f>Table1[[#This Row],[Belopp]]*0.25</f>
        <v>3750</v>
      </c>
      <c r="I7" s="74">
        <f>IF(Table1[[#This Row],[Belopp]]&gt;30000,Table1[[#This Row],[Belopp]]*0.1,Table1[[#This Row],[Belopp]]*0.05)</f>
        <v>750</v>
      </c>
    </row>
    <row r="8" spans="1:9" x14ac:dyDescent="0.2">
      <c r="A8" s="57">
        <v>6</v>
      </c>
      <c r="B8" s="58" t="s">
        <v>418</v>
      </c>
      <c r="C8" s="59">
        <v>22000</v>
      </c>
      <c r="D8" s="58" t="s">
        <v>405</v>
      </c>
      <c r="E8" s="58" t="s">
        <v>408</v>
      </c>
      <c r="F8" s="58" t="s">
        <v>409</v>
      </c>
      <c r="G8" s="60">
        <v>41554</v>
      </c>
      <c r="H8" s="73">
        <f>Table1[[#This Row],[Belopp]]*0.25</f>
        <v>5500</v>
      </c>
      <c r="I8" s="74">
        <f>IF(Table1[[#This Row],[Belopp]]&gt;30000,Table1[[#This Row],[Belopp]]*0.1,Table1[[#This Row],[Belopp]]*0.05)</f>
        <v>1100</v>
      </c>
    </row>
    <row r="9" spans="1:9" x14ac:dyDescent="0.2">
      <c r="A9" s="57">
        <v>8</v>
      </c>
      <c r="B9" s="58" t="s">
        <v>420</v>
      </c>
      <c r="C9" s="59">
        <v>32000</v>
      </c>
      <c r="D9" s="58" t="s">
        <v>405</v>
      </c>
      <c r="E9" s="58" t="s">
        <v>406</v>
      </c>
      <c r="F9" s="58" t="s">
        <v>407</v>
      </c>
      <c r="G9" s="60">
        <v>41560</v>
      </c>
      <c r="H9" s="73">
        <f>Table1[[#This Row],[Belopp]]*0.25</f>
        <v>8000</v>
      </c>
      <c r="I9" s="74">
        <f>IF(Table1[[#This Row],[Belopp]]&gt;30000,Table1[[#This Row],[Belopp]]*0.1,Table1[[#This Row],[Belopp]]*0.05)</f>
        <v>3200</v>
      </c>
    </row>
    <row r="10" spans="1:9" x14ac:dyDescent="0.2">
      <c r="A10" s="57">
        <v>5</v>
      </c>
      <c r="B10" s="58" t="s">
        <v>402</v>
      </c>
      <c r="C10" s="59">
        <v>15000</v>
      </c>
      <c r="D10" s="58" t="s">
        <v>405</v>
      </c>
      <c r="E10" s="58" t="s">
        <v>406</v>
      </c>
      <c r="F10" s="58" t="s">
        <v>407</v>
      </c>
      <c r="G10" s="60">
        <v>41566</v>
      </c>
      <c r="H10" s="73">
        <f>Table1[[#This Row],[Belopp]]*0.25</f>
        <v>3750</v>
      </c>
      <c r="I10" s="74">
        <f>IF(Table1[[#This Row],[Belopp]]&gt;30000,Table1[[#This Row],[Belopp]]*0.1,Table1[[#This Row],[Belopp]]*0.05)</f>
        <v>750</v>
      </c>
    </row>
    <row r="11" spans="1:9" x14ac:dyDescent="0.2">
      <c r="A11" s="57">
        <v>13</v>
      </c>
      <c r="B11" s="58" t="s">
        <v>420</v>
      </c>
      <c r="C11" s="59">
        <v>32000</v>
      </c>
      <c r="D11" s="58" t="s">
        <v>410</v>
      </c>
      <c r="E11" s="58" t="s">
        <v>403</v>
      </c>
      <c r="F11" s="58" t="s">
        <v>404</v>
      </c>
      <c r="G11" s="60">
        <v>41572</v>
      </c>
      <c r="H11" s="73">
        <f>Table1[[#This Row],[Belopp]]*0.25</f>
        <v>8000</v>
      </c>
      <c r="I11" s="74">
        <f>IF(Table1[[#This Row],[Belopp]]&gt;30000,Table1[[#This Row],[Belopp]]*0.1,Table1[[#This Row],[Belopp]]*0.05)</f>
        <v>3200</v>
      </c>
    </row>
    <row r="12" spans="1:9" x14ac:dyDescent="0.2">
      <c r="A12" s="57">
        <v>12</v>
      </c>
      <c r="B12" s="58" t="s">
        <v>422</v>
      </c>
      <c r="C12" s="59">
        <v>24500</v>
      </c>
      <c r="D12" s="58" t="s">
        <v>410</v>
      </c>
      <c r="E12" s="58" t="s">
        <v>403</v>
      </c>
      <c r="F12" s="58" t="s">
        <v>404</v>
      </c>
      <c r="G12" s="60">
        <v>41578</v>
      </c>
      <c r="H12" s="73">
        <f>Table1[[#This Row],[Belopp]]*0.25</f>
        <v>6125</v>
      </c>
      <c r="I12" s="74">
        <f>IF(Table1[[#This Row],[Belopp]]&gt;30000,Table1[[#This Row],[Belopp]]*0.1,Table1[[#This Row],[Belopp]]*0.05)</f>
        <v>1225</v>
      </c>
    </row>
    <row r="13" spans="1:9" x14ac:dyDescent="0.2">
      <c r="A13" s="57">
        <v>10</v>
      </c>
      <c r="B13" s="58" t="s">
        <v>402</v>
      </c>
      <c r="C13" s="59">
        <v>15000</v>
      </c>
      <c r="D13" s="58" t="s">
        <v>410</v>
      </c>
      <c r="E13" s="58" t="s">
        <v>403</v>
      </c>
      <c r="F13" s="58" t="s">
        <v>404</v>
      </c>
      <c r="G13" s="60">
        <v>41584</v>
      </c>
      <c r="H13" s="73">
        <f>Table1[[#This Row],[Belopp]]*0.25</f>
        <v>3750</v>
      </c>
      <c r="I13" s="74">
        <f>IF(Table1[[#This Row],[Belopp]]&gt;30000,Table1[[#This Row],[Belopp]]*0.1,Table1[[#This Row],[Belopp]]*0.05)</f>
        <v>750</v>
      </c>
    </row>
    <row r="14" spans="1:9" x14ac:dyDescent="0.2">
      <c r="A14" s="57">
        <v>14</v>
      </c>
      <c r="B14" s="58" t="s">
        <v>402</v>
      </c>
      <c r="C14" s="59">
        <v>15000</v>
      </c>
      <c r="D14" s="58" t="s">
        <v>410</v>
      </c>
      <c r="E14" s="58" t="s">
        <v>406</v>
      </c>
      <c r="F14" s="58" t="s">
        <v>407</v>
      </c>
      <c r="G14" s="60">
        <v>41590</v>
      </c>
      <c r="H14" s="73">
        <f>Table1[[#This Row],[Belopp]]*0.25</f>
        <v>3750</v>
      </c>
      <c r="I14" s="74">
        <f>IF(Table1[[#This Row],[Belopp]]&gt;30000,Table1[[#This Row],[Belopp]]*0.1,Table1[[#This Row],[Belopp]]*0.05)</f>
        <v>750</v>
      </c>
    </row>
    <row r="15" spans="1:9" x14ac:dyDescent="0.2">
      <c r="A15" s="57">
        <v>11</v>
      </c>
      <c r="B15" s="58" t="s">
        <v>418</v>
      </c>
      <c r="C15" s="59">
        <v>22000</v>
      </c>
      <c r="D15" s="58" t="s">
        <v>410</v>
      </c>
      <c r="E15" s="58" t="s">
        <v>406</v>
      </c>
      <c r="F15" s="58" t="s">
        <v>407</v>
      </c>
      <c r="G15" s="60">
        <v>41596</v>
      </c>
      <c r="H15" s="73">
        <f>Table1[[#This Row],[Belopp]]*0.25</f>
        <v>5500</v>
      </c>
      <c r="I15" s="74">
        <f>IF(Table1[[#This Row],[Belopp]]&gt;30000,Table1[[#This Row],[Belopp]]*0.1,Table1[[#This Row],[Belopp]]*0.05)</f>
        <v>1100</v>
      </c>
    </row>
    <row r="16" spans="1:9" x14ac:dyDescent="0.2">
      <c r="A16" s="57">
        <v>15</v>
      </c>
      <c r="B16" s="58" t="s">
        <v>402</v>
      </c>
      <c r="C16" s="59">
        <v>15000</v>
      </c>
      <c r="D16" s="58" t="s">
        <v>411</v>
      </c>
      <c r="E16" s="58" t="s">
        <v>403</v>
      </c>
      <c r="F16" s="58" t="s">
        <v>404</v>
      </c>
      <c r="G16" s="60">
        <v>41602</v>
      </c>
      <c r="H16" s="73">
        <f>Table1[[#This Row],[Belopp]]*0.25</f>
        <v>3750</v>
      </c>
      <c r="I16" s="74">
        <f>IF(Table1[[#This Row],[Belopp]]&gt;30000,Table1[[#This Row],[Belopp]]*0.1,Table1[[#This Row],[Belopp]]*0.05)</f>
        <v>750</v>
      </c>
    </row>
    <row r="17" spans="1:9" x14ac:dyDescent="0.2">
      <c r="A17" s="57">
        <v>18</v>
      </c>
      <c r="B17" s="58" t="s">
        <v>420</v>
      </c>
      <c r="C17" s="59">
        <v>32000</v>
      </c>
      <c r="D17" s="58" t="s">
        <v>411</v>
      </c>
      <c r="E17" s="58" t="s">
        <v>421</v>
      </c>
      <c r="F17" s="58" t="s">
        <v>409</v>
      </c>
      <c r="G17" s="60">
        <v>41608</v>
      </c>
      <c r="H17" s="73">
        <f>Table1[[#This Row],[Belopp]]*0.25</f>
        <v>8000</v>
      </c>
      <c r="I17" s="74">
        <f>IF(Table1[[#This Row],[Belopp]]&gt;30000,Table1[[#This Row],[Belopp]]*0.1,Table1[[#This Row],[Belopp]]*0.05)</f>
        <v>3200</v>
      </c>
    </row>
    <row r="18" spans="1:9" x14ac:dyDescent="0.2">
      <c r="A18" s="57">
        <v>17</v>
      </c>
      <c r="B18" s="58" t="s">
        <v>422</v>
      </c>
      <c r="C18" s="59">
        <v>24500</v>
      </c>
      <c r="D18" s="58" t="s">
        <v>411</v>
      </c>
      <c r="E18" s="58" t="s">
        <v>408</v>
      </c>
      <c r="F18" s="58" t="s">
        <v>409</v>
      </c>
      <c r="G18" s="60">
        <v>41614</v>
      </c>
      <c r="H18" s="73">
        <f>Table1[[#This Row],[Belopp]]*0.25</f>
        <v>6125</v>
      </c>
      <c r="I18" s="74">
        <f>IF(Table1[[#This Row],[Belopp]]&gt;30000,Table1[[#This Row],[Belopp]]*0.1,Table1[[#This Row],[Belopp]]*0.05)</f>
        <v>1225</v>
      </c>
    </row>
    <row r="19" spans="1:9" x14ac:dyDescent="0.2">
      <c r="A19" s="57">
        <v>16</v>
      </c>
      <c r="B19" s="58" t="s">
        <v>418</v>
      </c>
      <c r="C19" s="59">
        <v>22000</v>
      </c>
      <c r="D19" s="58" t="s">
        <v>411</v>
      </c>
      <c r="E19" s="58" t="s">
        <v>406</v>
      </c>
      <c r="F19" s="58" t="s">
        <v>407</v>
      </c>
      <c r="G19" s="60">
        <v>41620</v>
      </c>
      <c r="H19" s="73">
        <f>Table1[[#This Row],[Belopp]]*0.25</f>
        <v>5500</v>
      </c>
      <c r="I19" s="74">
        <f>IF(Table1[[#This Row],[Belopp]]&gt;30000,Table1[[#This Row],[Belopp]]*0.1,Table1[[#This Row],[Belopp]]*0.05)</f>
        <v>1100</v>
      </c>
    </row>
    <row r="20" spans="1:9" x14ac:dyDescent="0.2">
      <c r="A20" s="57">
        <v>21</v>
      </c>
      <c r="B20" s="58" t="s">
        <v>422</v>
      </c>
      <c r="C20" s="59">
        <v>24500</v>
      </c>
      <c r="D20" s="58" t="s">
        <v>412</v>
      </c>
      <c r="E20" s="58" t="s">
        <v>421</v>
      </c>
      <c r="F20" s="58" t="s">
        <v>409</v>
      </c>
      <c r="G20" s="60">
        <v>41626</v>
      </c>
      <c r="H20" s="73">
        <f>Table1[[#This Row],[Belopp]]*0.25</f>
        <v>6125</v>
      </c>
      <c r="I20" s="74">
        <f>IF(Table1[[#This Row],[Belopp]]&gt;30000,Table1[[#This Row],[Belopp]]*0.1,Table1[[#This Row],[Belopp]]*0.05)</f>
        <v>1225</v>
      </c>
    </row>
    <row r="21" spans="1:9" x14ac:dyDescent="0.2">
      <c r="A21" s="57">
        <v>23</v>
      </c>
      <c r="B21" s="58" t="s">
        <v>402</v>
      </c>
      <c r="C21" s="59">
        <v>15000</v>
      </c>
      <c r="D21" s="58" t="s">
        <v>412</v>
      </c>
      <c r="E21" s="58" t="s">
        <v>408</v>
      </c>
      <c r="F21" s="58" t="s">
        <v>409</v>
      </c>
      <c r="G21" s="60">
        <v>41632</v>
      </c>
      <c r="H21" s="73">
        <f>Table1[[#This Row],[Belopp]]*0.25</f>
        <v>3750</v>
      </c>
      <c r="I21" s="74">
        <f>IF(Table1[[#This Row],[Belopp]]&gt;30000,Table1[[#This Row],[Belopp]]*0.1,Table1[[#This Row],[Belopp]]*0.05)</f>
        <v>750</v>
      </c>
    </row>
    <row r="22" spans="1:9" x14ac:dyDescent="0.2">
      <c r="A22" s="57">
        <v>20</v>
      </c>
      <c r="B22" s="58" t="s">
        <v>418</v>
      </c>
      <c r="C22" s="59">
        <v>22000</v>
      </c>
      <c r="D22" s="58" t="s">
        <v>412</v>
      </c>
      <c r="E22" s="58" t="s">
        <v>408</v>
      </c>
      <c r="F22" s="58" t="s">
        <v>409</v>
      </c>
      <c r="G22" s="60">
        <v>41638</v>
      </c>
      <c r="H22" s="73">
        <f>Table1[[#This Row],[Belopp]]*0.25</f>
        <v>5500</v>
      </c>
      <c r="I22" s="74">
        <f>IF(Table1[[#This Row],[Belopp]]&gt;30000,Table1[[#This Row],[Belopp]]*0.1,Table1[[#This Row],[Belopp]]*0.05)</f>
        <v>1100</v>
      </c>
    </row>
    <row r="23" spans="1:9" x14ac:dyDescent="0.2">
      <c r="A23" s="57">
        <v>22</v>
      </c>
      <c r="B23" s="58" t="s">
        <v>420</v>
      </c>
      <c r="C23" s="59">
        <v>32000</v>
      </c>
      <c r="D23" s="58" t="s">
        <v>412</v>
      </c>
      <c r="E23" s="58" t="s">
        <v>406</v>
      </c>
      <c r="F23" s="58" t="s">
        <v>407</v>
      </c>
      <c r="G23" s="60">
        <v>41644</v>
      </c>
      <c r="H23" s="73">
        <f>Table1[[#This Row],[Belopp]]*0.25</f>
        <v>8000</v>
      </c>
      <c r="I23" s="74">
        <f>IF(Table1[[#This Row],[Belopp]]&gt;30000,Table1[[#This Row],[Belopp]]*0.1,Table1[[#This Row],[Belopp]]*0.05)</f>
        <v>3200</v>
      </c>
    </row>
    <row r="24" spans="1:9" x14ac:dyDescent="0.2">
      <c r="A24" s="57">
        <v>19</v>
      </c>
      <c r="B24" s="58" t="s">
        <v>402</v>
      </c>
      <c r="C24" s="59">
        <v>15000</v>
      </c>
      <c r="D24" s="58" t="s">
        <v>412</v>
      </c>
      <c r="E24" s="58" t="s">
        <v>406</v>
      </c>
      <c r="F24" s="58" t="s">
        <v>407</v>
      </c>
      <c r="G24" s="60">
        <v>41650</v>
      </c>
      <c r="H24" s="73">
        <f>Table1[[#This Row],[Belopp]]*0.25</f>
        <v>3750</v>
      </c>
      <c r="I24" s="74">
        <f>IF(Table1[[#This Row],[Belopp]]&gt;30000,Table1[[#This Row],[Belopp]]*0.1,Table1[[#This Row],[Belopp]]*0.05)</f>
        <v>750</v>
      </c>
    </row>
    <row r="25" spans="1:9" x14ac:dyDescent="0.2">
      <c r="A25" s="57">
        <v>27</v>
      </c>
      <c r="B25" s="58" t="s">
        <v>420</v>
      </c>
      <c r="C25" s="59">
        <v>32000</v>
      </c>
      <c r="D25" s="58" t="s">
        <v>413</v>
      </c>
      <c r="E25" s="58" t="s">
        <v>403</v>
      </c>
      <c r="F25" s="58" t="s">
        <v>404</v>
      </c>
      <c r="G25" s="60">
        <v>41656</v>
      </c>
      <c r="H25" s="73">
        <f>Table1[[#This Row],[Belopp]]*0.25</f>
        <v>8000</v>
      </c>
      <c r="I25" s="74">
        <f>IF(Table1[[#This Row],[Belopp]]&gt;30000,Table1[[#This Row],[Belopp]]*0.1,Table1[[#This Row],[Belopp]]*0.05)</f>
        <v>3200</v>
      </c>
    </row>
    <row r="26" spans="1:9" x14ac:dyDescent="0.2">
      <c r="A26" s="57">
        <v>26</v>
      </c>
      <c r="B26" s="58" t="s">
        <v>422</v>
      </c>
      <c r="C26" s="59">
        <v>24500</v>
      </c>
      <c r="D26" s="58" t="s">
        <v>413</v>
      </c>
      <c r="E26" s="58" t="s">
        <v>403</v>
      </c>
      <c r="F26" s="58" t="s">
        <v>404</v>
      </c>
      <c r="G26" s="60">
        <v>41662</v>
      </c>
      <c r="H26" s="73">
        <f>Table1[[#This Row],[Belopp]]*0.25</f>
        <v>6125</v>
      </c>
      <c r="I26" s="74">
        <f>IF(Table1[[#This Row],[Belopp]]&gt;30000,Table1[[#This Row],[Belopp]]*0.1,Table1[[#This Row],[Belopp]]*0.05)</f>
        <v>1225</v>
      </c>
    </row>
    <row r="27" spans="1:9" x14ac:dyDescent="0.2">
      <c r="A27" s="57">
        <v>24</v>
      </c>
      <c r="B27" s="58" t="s">
        <v>402</v>
      </c>
      <c r="C27" s="59">
        <v>15000</v>
      </c>
      <c r="D27" s="58" t="s">
        <v>413</v>
      </c>
      <c r="E27" s="58" t="s">
        <v>403</v>
      </c>
      <c r="F27" s="58" t="s">
        <v>404</v>
      </c>
      <c r="G27" s="60">
        <v>41668</v>
      </c>
      <c r="H27" s="73">
        <f>Table1[[#This Row],[Belopp]]*0.25</f>
        <v>3750</v>
      </c>
      <c r="I27" s="74">
        <f>IF(Table1[[#This Row],[Belopp]]&gt;30000,Table1[[#This Row],[Belopp]]*0.1,Table1[[#This Row],[Belopp]]*0.05)</f>
        <v>750</v>
      </c>
    </row>
    <row r="28" spans="1:9" x14ac:dyDescent="0.2">
      <c r="A28" s="57">
        <v>28</v>
      </c>
      <c r="B28" s="58" t="s">
        <v>402</v>
      </c>
      <c r="C28" s="59">
        <v>15000</v>
      </c>
      <c r="D28" s="58" t="s">
        <v>413</v>
      </c>
      <c r="E28" s="58" t="s">
        <v>406</v>
      </c>
      <c r="F28" s="58" t="s">
        <v>407</v>
      </c>
      <c r="G28" s="60">
        <v>41674</v>
      </c>
      <c r="H28" s="73">
        <f>Table1[[#This Row],[Belopp]]*0.25</f>
        <v>3750</v>
      </c>
      <c r="I28" s="74">
        <f>IF(Table1[[#This Row],[Belopp]]&gt;30000,Table1[[#This Row],[Belopp]]*0.1,Table1[[#This Row],[Belopp]]*0.05)</f>
        <v>750</v>
      </c>
    </row>
    <row r="29" spans="1:9" x14ac:dyDescent="0.2">
      <c r="A29" s="57">
        <v>25</v>
      </c>
      <c r="B29" s="58" t="s">
        <v>418</v>
      </c>
      <c r="C29" s="59">
        <v>22000</v>
      </c>
      <c r="D29" s="58" t="s">
        <v>413</v>
      </c>
      <c r="E29" s="58" t="s">
        <v>406</v>
      </c>
      <c r="F29" s="58" t="s">
        <v>407</v>
      </c>
      <c r="G29" s="60">
        <v>41680</v>
      </c>
      <c r="H29" s="73">
        <f>Table1[[#This Row],[Belopp]]*0.25</f>
        <v>5500</v>
      </c>
      <c r="I29" s="74">
        <f>IF(Table1[[#This Row],[Belopp]]&gt;30000,Table1[[#This Row],[Belopp]]*0.1,Table1[[#This Row],[Belopp]]*0.05)</f>
        <v>1100</v>
      </c>
    </row>
    <row r="30" spans="1:9" x14ac:dyDescent="0.2">
      <c r="A30" s="57">
        <v>29</v>
      </c>
      <c r="B30" s="58" t="s">
        <v>402</v>
      </c>
      <c r="C30" s="59">
        <v>15000</v>
      </c>
      <c r="D30" s="58" t="s">
        <v>414</v>
      </c>
      <c r="E30" s="58" t="s">
        <v>403</v>
      </c>
      <c r="F30" s="58" t="s">
        <v>404</v>
      </c>
      <c r="G30" s="60">
        <v>41686</v>
      </c>
      <c r="H30" s="73">
        <f>Table1[[#This Row],[Belopp]]*0.25</f>
        <v>3750</v>
      </c>
      <c r="I30" s="74">
        <f>IF(Table1[[#This Row],[Belopp]]&gt;30000,Table1[[#This Row],[Belopp]]*0.1,Table1[[#This Row],[Belopp]]*0.05)</f>
        <v>750</v>
      </c>
    </row>
    <row r="31" spans="1:9" x14ac:dyDescent="0.2">
      <c r="A31" s="57">
        <v>32</v>
      </c>
      <c r="B31" s="58" t="s">
        <v>420</v>
      </c>
      <c r="C31" s="59">
        <v>32000</v>
      </c>
      <c r="D31" s="58" t="s">
        <v>414</v>
      </c>
      <c r="E31" s="58" t="s">
        <v>421</v>
      </c>
      <c r="F31" s="58" t="s">
        <v>409</v>
      </c>
      <c r="G31" s="60">
        <v>41692</v>
      </c>
      <c r="H31" s="73">
        <f>Table1[[#This Row],[Belopp]]*0.25</f>
        <v>8000</v>
      </c>
      <c r="I31" s="74">
        <f>IF(Table1[[#This Row],[Belopp]]&gt;30000,Table1[[#This Row],[Belopp]]*0.1,Table1[[#This Row],[Belopp]]*0.05)</f>
        <v>3200</v>
      </c>
    </row>
    <row r="32" spans="1:9" x14ac:dyDescent="0.2">
      <c r="A32" s="57">
        <v>31</v>
      </c>
      <c r="B32" s="58" t="s">
        <v>422</v>
      </c>
      <c r="C32" s="59">
        <v>24500</v>
      </c>
      <c r="D32" s="58" t="s">
        <v>414</v>
      </c>
      <c r="E32" s="58" t="s">
        <v>408</v>
      </c>
      <c r="F32" s="58" t="s">
        <v>409</v>
      </c>
      <c r="G32" s="60">
        <v>41698</v>
      </c>
      <c r="H32" s="73">
        <f>Table1[[#This Row],[Belopp]]*0.25</f>
        <v>6125</v>
      </c>
      <c r="I32" s="74">
        <f>IF(Table1[[#This Row],[Belopp]]&gt;30000,Table1[[#This Row],[Belopp]]*0.1,Table1[[#This Row],[Belopp]]*0.05)</f>
        <v>1225</v>
      </c>
    </row>
    <row r="33" spans="1:9" x14ac:dyDescent="0.2">
      <c r="A33" s="57">
        <v>30</v>
      </c>
      <c r="B33" s="58" t="s">
        <v>418</v>
      </c>
      <c r="C33" s="59">
        <v>22000</v>
      </c>
      <c r="D33" s="58" t="s">
        <v>414</v>
      </c>
      <c r="E33" s="58" t="s">
        <v>406</v>
      </c>
      <c r="F33" s="58" t="s">
        <v>407</v>
      </c>
      <c r="G33" s="60">
        <v>41704</v>
      </c>
      <c r="H33" s="73">
        <f>Table1[[#This Row],[Belopp]]*0.25</f>
        <v>5500</v>
      </c>
      <c r="I33" s="74">
        <f>IF(Table1[[#This Row],[Belopp]]&gt;30000,Table1[[#This Row],[Belopp]]*0.1,Table1[[#This Row],[Belopp]]*0.05)</f>
        <v>1100</v>
      </c>
    </row>
    <row r="34" spans="1:9" x14ac:dyDescent="0.2">
      <c r="A34" s="57">
        <v>35</v>
      </c>
      <c r="B34" s="58" t="s">
        <v>422</v>
      </c>
      <c r="C34" s="59">
        <v>24500</v>
      </c>
      <c r="D34" s="58" t="s">
        <v>415</v>
      </c>
      <c r="E34" s="58" t="s">
        <v>421</v>
      </c>
      <c r="F34" s="58" t="s">
        <v>409</v>
      </c>
      <c r="G34" s="60">
        <v>41710</v>
      </c>
      <c r="H34" s="73">
        <f>Table1[[#This Row],[Belopp]]*0.25</f>
        <v>6125</v>
      </c>
      <c r="I34" s="74">
        <f>IF(Table1[[#This Row],[Belopp]]&gt;30000,Table1[[#This Row],[Belopp]]*0.1,Table1[[#This Row],[Belopp]]*0.05)</f>
        <v>1225</v>
      </c>
    </row>
    <row r="35" spans="1:9" x14ac:dyDescent="0.2">
      <c r="A35" s="57">
        <v>37</v>
      </c>
      <c r="B35" s="58" t="s">
        <v>402</v>
      </c>
      <c r="C35" s="59">
        <v>15000</v>
      </c>
      <c r="D35" s="58" t="s">
        <v>415</v>
      </c>
      <c r="E35" s="58" t="s">
        <v>408</v>
      </c>
      <c r="F35" s="58" t="s">
        <v>409</v>
      </c>
      <c r="G35" s="60">
        <v>41716</v>
      </c>
      <c r="H35" s="73">
        <f>Table1[[#This Row],[Belopp]]*0.25</f>
        <v>3750</v>
      </c>
      <c r="I35" s="74">
        <f>IF(Table1[[#This Row],[Belopp]]&gt;30000,Table1[[#This Row],[Belopp]]*0.1,Table1[[#This Row],[Belopp]]*0.05)</f>
        <v>750</v>
      </c>
    </row>
    <row r="36" spans="1:9" x14ac:dyDescent="0.2">
      <c r="A36" s="57">
        <v>34</v>
      </c>
      <c r="B36" s="58" t="s">
        <v>418</v>
      </c>
      <c r="C36" s="59">
        <v>22000</v>
      </c>
      <c r="D36" s="58" t="s">
        <v>415</v>
      </c>
      <c r="E36" s="58" t="s">
        <v>408</v>
      </c>
      <c r="F36" s="58" t="s">
        <v>409</v>
      </c>
      <c r="G36" s="60">
        <v>41722</v>
      </c>
      <c r="H36" s="73">
        <f>Table1[[#This Row],[Belopp]]*0.25</f>
        <v>5500</v>
      </c>
      <c r="I36" s="74">
        <f>IF(Table1[[#This Row],[Belopp]]&gt;30000,Table1[[#This Row],[Belopp]]*0.1,Table1[[#This Row],[Belopp]]*0.05)</f>
        <v>1100</v>
      </c>
    </row>
    <row r="37" spans="1:9" x14ac:dyDescent="0.2">
      <c r="A37" s="57">
        <v>36</v>
      </c>
      <c r="B37" s="58" t="s">
        <v>420</v>
      </c>
      <c r="C37" s="59">
        <v>32000</v>
      </c>
      <c r="D37" s="58" t="s">
        <v>415</v>
      </c>
      <c r="E37" s="58" t="s">
        <v>406</v>
      </c>
      <c r="F37" s="58" t="s">
        <v>407</v>
      </c>
      <c r="G37" s="60">
        <v>41728</v>
      </c>
      <c r="H37" s="73">
        <f>Table1[[#This Row],[Belopp]]*0.25</f>
        <v>8000</v>
      </c>
      <c r="I37" s="74">
        <f>IF(Table1[[#This Row],[Belopp]]&gt;30000,Table1[[#This Row],[Belopp]]*0.1,Table1[[#This Row],[Belopp]]*0.05)</f>
        <v>3200</v>
      </c>
    </row>
    <row r="38" spans="1:9" x14ac:dyDescent="0.2">
      <c r="A38" s="57">
        <v>33</v>
      </c>
      <c r="B38" s="58" t="s">
        <v>402</v>
      </c>
      <c r="C38" s="59">
        <v>15000</v>
      </c>
      <c r="D38" s="58" t="s">
        <v>415</v>
      </c>
      <c r="E38" s="58" t="s">
        <v>406</v>
      </c>
      <c r="F38" s="58" t="s">
        <v>407</v>
      </c>
      <c r="G38" s="60">
        <v>41734</v>
      </c>
      <c r="H38" s="73">
        <f>Table1[[#This Row],[Belopp]]*0.25</f>
        <v>3750</v>
      </c>
      <c r="I38" s="74">
        <f>IF(Table1[[#This Row],[Belopp]]&gt;30000,Table1[[#This Row],[Belopp]]*0.1,Table1[[#This Row],[Belopp]]*0.05)</f>
        <v>750</v>
      </c>
    </row>
    <row r="39" spans="1:9" x14ac:dyDescent="0.2">
      <c r="A39" s="57">
        <v>41</v>
      </c>
      <c r="B39" s="58" t="s">
        <v>420</v>
      </c>
      <c r="C39" s="59">
        <v>32000</v>
      </c>
      <c r="D39" s="58" t="s">
        <v>416</v>
      </c>
      <c r="E39" s="58" t="s">
        <v>403</v>
      </c>
      <c r="F39" s="58" t="s">
        <v>404</v>
      </c>
      <c r="G39" s="60">
        <v>41740</v>
      </c>
      <c r="H39" s="73">
        <f>Table1[[#This Row],[Belopp]]*0.25</f>
        <v>8000</v>
      </c>
      <c r="I39" s="74">
        <f>IF(Table1[[#This Row],[Belopp]]&gt;30000,Table1[[#This Row],[Belopp]]*0.1,Table1[[#This Row],[Belopp]]*0.05)</f>
        <v>3200</v>
      </c>
    </row>
    <row r="40" spans="1:9" x14ac:dyDescent="0.2">
      <c r="A40" s="57">
        <v>40</v>
      </c>
      <c r="B40" s="58" t="s">
        <v>422</v>
      </c>
      <c r="C40" s="59">
        <v>24500</v>
      </c>
      <c r="D40" s="58" t="s">
        <v>416</v>
      </c>
      <c r="E40" s="58" t="s">
        <v>403</v>
      </c>
      <c r="F40" s="58" t="s">
        <v>404</v>
      </c>
      <c r="G40" s="60">
        <v>41746</v>
      </c>
      <c r="H40" s="73">
        <f>Table1[[#This Row],[Belopp]]*0.25</f>
        <v>6125</v>
      </c>
      <c r="I40" s="74">
        <f>IF(Table1[[#This Row],[Belopp]]&gt;30000,Table1[[#This Row],[Belopp]]*0.1,Table1[[#This Row],[Belopp]]*0.05)</f>
        <v>1225</v>
      </c>
    </row>
    <row r="41" spans="1:9" x14ac:dyDescent="0.2">
      <c r="A41" s="57">
        <v>38</v>
      </c>
      <c r="B41" s="58" t="s">
        <v>402</v>
      </c>
      <c r="C41" s="59">
        <v>15000</v>
      </c>
      <c r="D41" s="58" t="s">
        <v>416</v>
      </c>
      <c r="E41" s="58" t="s">
        <v>403</v>
      </c>
      <c r="F41" s="58" t="s">
        <v>404</v>
      </c>
      <c r="G41" s="60">
        <v>41752</v>
      </c>
      <c r="H41" s="73">
        <f>Table1[[#This Row],[Belopp]]*0.25</f>
        <v>3750</v>
      </c>
      <c r="I41" s="74">
        <f>IF(Table1[[#This Row],[Belopp]]&gt;30000,Table1[[#This Row],[Belopp]]*0.1,Table1[[#This Row],[Belopp]]*0.05)</f>
        <v>750</v>
      </c>
    </row>
    <row r="42" spans="1:9" x14ac:dyDescent="0.2">
      <c r="A42" s="57">
        <v>42</v>
      </c>
      <c r="B42" s="58" t="s">
        <v>402</v>
      </c>
      <c r="C42" s="59">
        <v>15000</v>
      </c>
      <c r="D42" s="58" t="s">
        <v>416</v>
      </c>
      <c r="E42" s="58" t="s">
        <v>406</v>
      </c>
      <c r="F42" s="58" t="s">
        <v>407</v>
      </c>
      <c r="G42" s="60">
        <v>41758</v>
      </c>
      <c r="H42" s="73">
        <f>Table1[[#This Row],[Belopp]]*0.25</f>
        <v>3750</v>
      </c>
      <c r="I42" s="74">
        <f>IF(Table1[[#This Row],[Belopp]]&gt;30000,Table1[[#This Row],[Belopp]]*0.1,Table1[[#This Row],[Belopp]]*0.05)</f>
        <v>750</v>
      </c>
    </row>
    <row r="43" spans="1:9" x14ac:dyDescent="0.2">
      <c r="A43" s="57">
        <v>39</v>
      </c>
      <c r="B43" s="58" t="s">
        <v>418</v>
      </c>
      <c r="C43" s="59">
        <v>22000</v>
      </c>
      <c r="D43" s="58" t="s">
        <v>416</v>
      </c>
      <c r="E43" s="58" t="s">
        <v>406</v>
      </c>
      <c r="F43" s="58" t="s">
        <v>407</v>
      </c>
      <c r="G43" s="60">
        <v>41764</v>
      </c>
      <c r="H43" s="73">
        <f>Table1[[#This Row],[Belopp]]*0.25</f>
        <v>5500</v>
      </c>
      <c r="I43" s="74">
        <f>IF(Table1[[#This Row],[Belopp]]&gt;30000,Table1[[#This Row],[Belopp]]*0.1,Table1[[#This Row],[Belopp]]*0.05)</f>
        <v>1100</v>
      </c>
    </row>
    <row r="44" spans="1:9" x14ac:dyDescent="0.2">
      <c r="A44" s="57">
        <v>43</v>
      </c>
      <c r="B44" s="58" t="s">
        <v>402</v>
      </c>
      <c r="C44" s="59">
        <v>15000</v>
      </c>
      <c r="D44" s="58" t="s">
        <v>417</v>
      </c>
      <c r="E44" s="58" t="s">
        <v>403</v>
      </c>
      <c r="F44" s="58" t="s">
        <v>404</v>
      </c>
      <c r="G44" s="60">
        <v>41770</v>
      </c>
      <c r="H44" s="73">
        <f>Table1[[#This Row],[Belopp]]*0.25</f>
        <v>3750</v>
      </c>
      <c r="I44" s="74">
        <f>IF(Table1[[#This Row],[Belopp]]&gt;30000,Table1[[#This Row],[Belopp]]*0.1,Table1[[#This Row],[Belopp]]*0.05)</f>
        <v>750</v>
      </c>
    </row>
    <row r="45" spans="1:9" x14ac:dyDescent="0.2">
      <c r="A45" s="57">
        <v>46</v>
      </c>
      <c r="B45" s="58" t="s">
        <v>420</v>
      </c>
      <c r="C45" s="59">
        <v>32000</v>
      </c>
      <c r="D45" s="58" t="s">
        <v>417</v>
      </c>
      <c r="E45" s="58" t="s">
        <v>421</v>
      </c>
      <c r="F45" s="58" t="s">
        <v>409</v>
      </c>
      <c r="G45" s="60">
        <v>41776</v>
      </c>
      <c r="H45" s="73">
        <f>Table1[[#This Row],[Belopp]]*0.25</f>
        <v>8000</v>
      </c>
      <c r="I45" s="74">
        <f>IF(Table1[[#This Row],[Belopp]]&gt;30000,Table1[[#This Row],[Belopp]]*0.1,Table1[[#This Row],[Belopp]]*0.05)</f>
        <v>3200</v>
      </c>
    </row>
    <row r="46" spans="1:9" x14ac:dyDescent="0.2">
      <c r="A46" s="57">
        <v>45</v>
      </c>
      <c r="B46" s="58" t="s">
        <v>422</v>
      </c>
      <c r="C46" s="59">
        <v>24500</v>
      </c>
      <c r="D46" s="58" t="s">
        <v>417</v>
      </c>
      <c r="E46" s="58" t="s">
        <v>408</v>
      </c>
      <c r="F46" s="58" t="s">
        <v>409</v>
      </c>
      <c r="G46" s="60">
        <v>41782</v>
      </c>
      <c r="H46" s="73">
        <f>Table1[[#This Row],[Belopp]]*0.25</f>
        <v>6125</v>
      </c>
      <c r="I46" s="74">
        <f>IF(Table1[[#This Row],[Belopp]]&gt;30000,Table1[[#This Row],[Belopp]]*0.1,Table1[[#This Row],[Belopp]]*0.05)</f>
        <v>1225</v>
      </c>
    </row>
    <row r="47" spans="1:9" x14ac:dyDescent="0.2">
      <c r="A47" s="57">
        <v>44</v>
      </c>
      <c r="B47" s="58" t="s">
        <v>418</v>
      </c>
      <c r="C47" s="59">
        <v>22000</v>
      </c>
      <c r="D47" s="58" t="s">
        <v>417</v>
      </c>
      <c r="E47" s="58" t="s">
        <v>406</v>
      </c>
      <c r="F47" s="58" t="s">
        <v>407</v>
      </c>
      <c r="G47" s="60">
        <v>41788</v>
      </c>
      <c r="H47" s="73">
        <f>Table1[[#This Row],[Belopp]]*0.25</f>
        <v>5500</v>
      </c>
      <c r="I47" s="74">
        <f>IF(Table1[[#This Row],[Belopp]]&gt;30000,Table1[[#This Row],[Belopp]]*0.1,Table1[[#This Row],[Belopp]]*0.05)</f>
        <v>1100</v>
      </c>
    </row>
    <row r="48" spans="1:9" x14ac:dyDescent="0.2">
      <c r="A48" s="23"/>
      <c r="C48" s="22"/>
    </row>
    <row r="49" spans="3:3" x14ac:dyDescent="0.2">
      <c r="C49" s="22"/>
    </row>
    <row r="50" spans="3:3" x14ac:dyDescent="0.2">
      <c r="C50" s="22"/>
    </row>
    <row r="51" spans="3:3" x14ac:dyDescent="0.2">
      <c r="C51" s="22"/>
    </row>
    <row r="52" spans="3:3" x14ac:dyDescent="0.2">
      <c r="C52" s="22"/>
    </row>
    <row r="53" spans="3:3" x14ac:dyDescent="0.2">
      <c r="C53" s="22"/>
    </row>
  </sheetData>
  <printOptions gridLines="1" gridLinesSet="0"/>
  <pageMargins left="0.75" right="0.75" top="1" bottom="1" header="0" footer="0"/>
  <pageSetup paperSize="9" orientation="portrait" horizontalDpi="300" verticalDpi="300" r:id="rId1"/>
  <headerFooter alignWithMargins="0"/>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2"/>
  <dimension ref="A1:J89"/>
  <sheetViews>
    <sheetView workbookViewId="0">
      <pane ySplit="1" topLeftCell="A2" activePane="bottomLeft" state="frozen"/>
      <selection activeCell="C1" sqref="C1"/>
      <selection pane="bottomLeft" activeCell="I14" sqref="I14"/>
    </sheetView>
  </sheetViews>
  <sheetFormatPr defaultColWidth="26.7109375" defaultRowHeight="12.75" x14ac:dyDescent="0.2"/>
  <cols>
    <col min="1" max="1" width="25.85546875" bestFit="1" customWidth="1"/>
    <col min="2" max="2" width="22" bestFit="1" customWidth="1"/>
    <col min="3" max="3" width="23.85546875" bestFit="1" customWidth="1"/>
    <col min="4" max="4" width="13.140625" bestFit="1" customWidth="1"/>
    <col min="5" max="5" width="11.140625" bestFit="1" customWidth="1"/>
    <col min="6" max="6" width="10.5703125" bestFit="1" customWidth="1"/>
    <col min="7" max="7" width="12.42578125" bestFit="1" customWidth="1"/>
    <col min="8" max="8" width="14.7109375" bestFit="1" customWidth="1"/>
    <col min="9" max="9" width="16.85546875" customWidth="1"/>
    <col min="10" max="10" width="12.42578125" bestFit="1" customWidth="1"/>
  </cols>
  <sheetData>
    <row r="1" spans="1:10" x14ac:dyDescent="0.2">
      <c r="A1" s="61" t="s">
        <v>384</v>
      </c>
      <c r="B1" s="61" t="s">
        <v>385</v>
      </c>
      <c r="C1" s="61" t="s">
        <v>28</v>
      </c>
      <c r="D1" s="61" t="s">
        <v>386</v>
      </c>
      <c r="E1" s="61" t="s">
        <v>387</v>
      </c>
      <c r="F1" s="61" t="s">
        <v>5</v>
      </c>
      <c r="G1" s="62" t="s">
        <v>388</v>
      </c>
      <c r="H1" s="62" t="s">
        <v>444</v>
      </c>
      <c r="I1" s="62" t="s">
        <v>445</v>
      </c>
      <c r="J1" s="10"/>
    </row>
    <row r="2" spans="1:10" x14ac:dyDescent="0.2">
      <c r="A2" s="6" t="s">
        <v>114</v>
      </c>
      <c r="B2" s="6" t="s">
        <v>115</v>
      </c>
      <c r="C2" s="6" t="s">
        <v>86</v>
      </c>
      <c r="D2" s="6" t="s">
        <v>47</v>
      </c>
      <c r="E2" s="6" t="s">
        <v>116</v>
      </c>
      <c r="F2" s="6" t="s">
        <v>49</v>
      </c>
      <c r="G2" s="8">
        <v>65000</v>
      </c>
      <c r="H2" t="e">
        <f>VLOOKUP(A2,Kundlista2!A:G,7,FALSE)</f>
        <v>#N/A</v>
      </c>
      <c r="I2" t="e">
        <f t="shared" ref="I2:I33" si="0">IF(G2&lt;&gt;H2,G2-H2,"OK")</f>
        <v>#N/A</v>
      </c>
    </row>
    <row r="3" spans="1:10" x14ac:dyDescent="0.2">
      <c r="A3" s="6" t="s">
        <v>171</v>
      </c>
      <c r="B3" s="6" t="s">
        <v>172</v>
      </c>
      <c r="C3" s="6" t="s">
        <v>38</v>
      </c>
      <c r="D3" s="6" t="s">
        <v>173</v>
      </c>
      <c r="E3" s="6" t="s">
        <v>174</v>
      </c>
      <c r="F3" s="6" t="s">
        <v>175</v>
      </c>
      <c r="G3" s="8">
        <v>65410</v>
      </c>
      <c r="H3" t="e">
        <f>VLOOKUP(A3,Kundlista2!A:G,7,FALSE)</f>
        <v>#N/A</v>
      </c>
      <c r="I3" t="e">
        <f t="shared" si="0"/>
        <v>#N/A</v>
      </c>
    </row>
    <row r="4" spans="1:10" x14ac:dyDescent="0.2">
      <c r="A4" s="6" t="s">
        <v>176</v>
      </c>
      <c r="B4" s="6" t="s">
        <v>177</v>
      </c>
      <c r="C4" s="6" t="s">
        <v>77</v>
      </c>
      <c r="D4" s="6" t="s">
        <v>178</v>
      </c>
      <c r="E4" s="6" t="s">
        <v>179</v>
      </c>
      <c r="F4" s="6" t="s">
        <v>102</v>
      </c>
      <c r="G4" s="8">
        <v>3200</v>
      </c>
      <c r="H4" t="e">
        <f>VLOOKUP(A4,Kundlista2!A:G,7,FALSE)</f>
        <v>#N/A</v>
      </c>
      <c r="I4" t="e">
        <f t="shared" si="0"/>
        <v>#N/A</v>
      </c>
    </row>
    <row r="5" spans="1:10" x14ac:dyDescent="0.2">
      <c r="A5" s="6" t="s">
        <v>227</v>
      </c>
      <c r="B5" s="6" t="s">
        <v>228</v>
      </c>
      <c r="C5" s="6" t="s">
        <v>38</v>
      </c>
      <c r="D5" s="6" t="s">
        <v>229</v>
      </c>
      <c r="E5" s="6" t="s">
        <v>230</v>
      </c>
      <c r="F5" s="6" t="s">
        <v>175</v>
      </c>
      <c r="G5" s="8">
        <v>3200</v>
      </c>
      <c r="H5" t="e">
        <f>VLOOKUP(A5,Kundlista2!A:G,7,FALSE)</f>
        <v>#N/A</v>
      </c>
      <c r="I5" t="e">
        <f t="shared" si="0"/>
        <v>#N/A</v>
      </c>
    </row>
    <row r="6" spans="1:10" x14ac:dyDescent="0.2">
      <c r="A6" s="6" t="s">
        <v>71</v>
      </c>
      <c r="B6" s="6" t="s">
        <v>72</v>
      </c>
      <c r="C6" s="6" t="s">
        <v>38</v>
      </c>
      <c r="D6" s="6" t="s">
        <v>73</v>
      </c>
      <c r="E6" s="6" t="s">
        <v>74</v>
      </c>
      <c r="F6" s="6" t="s">
        <v>65</v>
      </c>
      <c r="G6" s="8">
        <v>4000</v>
      </c>
      <c r="H6">
        <f>VLOOKUP(A6,Kundlista2!A:G,7,FALSE)</f>
        <v>6000</v>
      </c>
      <c r="I6">
        <f t="shared" si="0"/>
        <v>-2000</v>
      </c>
    </row>
    <row r="7" spans="1:10" x14ac:dyDescent="0.2">
      <c r="A7" s="6" t="s">
        <v>103</v>
      </c>
      <c r="B7" s="6" t="s">
        <v>104</v>
      </c>
      <c r="C7" s="6" t="s">
        <v>31</v>
      </c>
      <c r="D7" s="6" t="s">
        <v>47</v>
      </c>
      <c r="E7" s="6" t="s">
        <v>105</v>
      </c>
      <c r="F7" s="6" t="s">
        <v>49</v>
      </c>
      <c r="G7" s="8">
        <v>12000</v>
      </c>
      <c r="H7">
        <f>VLOOKUP(A7,Kundlista2!A:G,7,FALSE)</f>
        <v>13000</v>
      </c>
      <c r="I7">
        <f t="shared" si="0"/>
        <v>-1000</v>
      </c>
    </row>
    <row r="8" spans="1:10" x14ac:dyDescent="0.2">
      <c r="A8" s="6" t="s">
        <v>357</v>
      </c>
      <c r="B8" s="6" t="s">
        <v>358</v>
      </c>
      <c r="C8" s="6" t="s">
        <v>31</v>
      </c>
      <c r="D8" s="6" t="s">
        <v>359</v>
      </c>
      <c r="E8" s="6" t="s">
        <v>360</v>
      </c>
      <c r="F8" s="6" t="s">
        <v>35</v>
      </c>
      <c r="G8" s="8">
        <v>6500</v>
      </c>
      <c r="H8">
        <f>VLOOKUP(A8,Kundlista2!A:G,7,FALSE)</f>
        <v>7000</v>
      </c>
      <c r="I8">
        <f t="shared" si="0"/>
        <v>-500</v>
      </c>
    </row>
    <row r="9" spans="1:10" x14ac:dyDescent="0.2">
      <c r="A9" s="6" t="s">
        <v>328</v>
      </c>
      <c r="B9" s="6" t="s">
        <v>329</v>
      </c>
      <c r="C9" s="6" t="s">
        <v>125</v>
      </c>
      <c r="D9" s="6" t="s">
        <v>330</v>
      </c>
      <c r="E9" s="6" t="s">
        <v>331</v>
      </c>
      <c r="F9" s="6" t="s">
        <v>170</v>
      </c>
      <c r="G9" s="8">
        <v>4500</v>
      </c>
      <c r="H9">
        <f>VLOOKUP(A9,Kundlista2!A:G,7,FALSE)</f>
        <v>4000</v>
      </c>
      <c r="I9">
        <f t="shared" si="0"/>
        <v>500</v>
      </c>
    </row>
    <row r="10" spans="1:10" x14ac:dyDescent="0.2">
      <c r="A10" s="6" t="s">
        <v>366</v>
      </c>
      <c r="B10" s="6" t="s">
        <v>367</v>
      </c>
      <c r="C10" s="6" t="s">
        <v>119</v>
      </c>
      <c r="D10" s="6" t="s">
        <v>368</v>
      </c>
      <c r="E10" s="6" t="s">
        <v>369</v>
      </c>
      <c r="F10" s="6" t="s">
        <v>102</v>
      </c>
      <c r="G10" s="8">
        <v>6500</v>
      </c>
      <c r="H10">
        <f>VLOOKUP(A10,Kundlista2!A:G,7,FALSE)</f>
        <v>8000</v>
      </c>
      <c r="I10">
        <f t="shared" si="0"/>
        <v>-1500</v>
      </c>
    </row>
    <row r="11" spans="1:10" x14ac:dyDescent="0.2">
      <c r="A11" s="6" t="s">
        <v>29</v>
      </c>
      <c r="B11" s="6" t="s">
        <v>30</v>
      </c>
      <c r="C11" s="6" t="s">
        <v>31</v>
      </c>
      <c r="D11" s="6" t="s">
        <v>32</v>
      </c>
      <c r="E11" s="6" t="s">
        <v>34</v>
      </c>
      <c r="F11" s="6" t="s">
        <v>35</v>
      </c>
      <c r="G11" s="8">
        <v>10000</v>
      </c>
      <c r="H11">
        <f>VLOOKUP(A11,Kundlista2!A:G,7,FALSE)</f>
        <v>10000</v>
      </c>
      <c r="I11" t="str">
        <f t="shared" si="0"/>
        <v>OK</v>
      </c>
    </row>
    <row r="12" spans="1:10" ht="25.5" x14ac:dyDescent="0.2">
      <c r="A12" s="6" t="s">
        <v>36</v>
      </c>
      <c r="B12" s="6" t="s">
        <v>37</v>
      </c>
      <c r="C12" s="6" t="s">
        <v>38</v>
      </c>
      <c r="D12" s="6" t="s">
        <v>39</v>
      </c>
      <c r="E12" s="6" t="s">
        <v>40</v>
      </c>
      <c r="F12" s="6" t="s">
        <v>41</v>
      </c>
      <c r="G12" s="8">
        <v>15000</v>
      </c>
      <c r="H12">
        <f>VLOOKUP(A12,Kundlista2!A:G,7,FALSE)</f>
        <v>15000</v>
      </c>
      <c r="I12" t="str">
        <f t="shared" si="0"/>
        <v>OK</v>
      </c>
    </row>
    <row r="13" spans="1:10" x14ac:dyDescent="0.2">
      <c r="A13" s="6" t="s">
        <v>42</v>
      </c>
      <c r="B13" s="6" t="s">
        <v>43</v>
      </c>
      <c r="C13" s="6" t="s">
        <v>38</v>
      </c>
      <c r="D13" s="6" t="s">
        <v>39</v>
      </c>
      <c r="E13" s="6" t="s">
        <v>44</v>
      </c>
      <c r="F13" s="6" t="s">
        <v>41</v>
      </c>
      <c r="G13" s="8">
        <v>45000</v>
      </c>
      <c r="H13">
        <f>VLOOKUP(A13,Kundlista2!A:G,7,FALSE)</f>
        <v>45000</v>
      </c>
      <c r="I13" t="str">
        <f t="shared" si="0"/>
        <v>OK</v>
      </c>
    </row>
    <row r="14" spans="1:10" x14ac:dyDescent="0.2">
      <c r="A14" s="6" t="s">
        <v>45</v>
      </c>
      <c r="B14" s="6" t="s">
        <v>46</v>
      </c>
      <c r="C14" s="6" t="s">
        <v>31</v>
      </c>
      <c r="D14" s="6" t="s">
        <v>47</v>
      </c>
      <c r="E14" s="6" t="s">
        <v>48</v>
      </c>
      <c r="F14" s="6" t="s">
        <v>49</v>
      </c>
      <c r="G14" s="8">
        <v>650000</v>
      </c>
      <c r="H14">
        <f>VLOOKUP(A14,Kundlista2!A:G,7,FALSE)</f>
        <v>650000</v>
      </c>
      <c r="I14" t="str">
        <f t="shared" si="0"/>
        <v>OK</v>
      </c>
    </row>
    <row r="15" spans="1:10" x14ac:dyDescent="0.2">
      <c r="A15" s="6" t="s">
        <v>50</v>
      </c>
      <c r="B15" s="6" t="s">
        <v>51</v>
      </c>
      <c r="C15" s="6" t="s">
        <v>52</v>
      </c>
      <c r="D15" s="6" t="s">
        <v>53</v>
      </c>
      <c r="E15" s="6" t="s">
        <v>54</v>
      </c>
      <c r="F15" s="6" t="s">
        <v>55</v>
      </c>
      <c r="G15" s="8">
        <v>12000</v>
      </c>
      <c r="H15">
        <f>VLOOKUP(A15,Kundlista2!A:G,7,FALSE)</f>
        <v>12000</v>
      </c>
      <c r="I15" t="str">
        <f t="shared" si="0"/>
        <v>OK</v>
      </c>
    </row>
    <row r="16" spans="1:10" x14ac:dyDescent="0.2">
      <c r="A16" s="6" t="s">
        <v>56</v>
      </c>
      <c r="B16" s="6" t="s">
        <v>57</v>
      </c>
      <c r="C16" s="6" t="s">
        <v>31</v>
      </c>
      <c r="D16" s="6" t="s">
        <v>58</v>
      </c>
      <c r="E16" s="6" t="s">
        <v>59</v>
      </c>
      <c r="F16" s="6" t="s">
        <v>35</v>
      </c>
      <c r="G16" s="8">
        <v>80000</v>
      </c>
      <c r="H16">
        <f>VLOOKUP(A16,Kundlista2!A:G,7,FALSE)</f>
        <v>80000</v>
      </c>
      <c r="I16" t="str">
        <f t="shared" si="0"/>
        <v>OK</v>
      </c>
    </row>
    <row r="17" spans="1:9" x14ac:dyDescent="0.2">
      <c r="A17" s="6" t="s">
        <v>60</v>
      </c>
      <c r="B17" s="6" t="s">
        <v>61</v>
      </c>
      <c r="C17" s="6" t="s">
        <v>62</v>
      </c>
      <c r="D17" s="6" t="s">
        <v>63</v>
      </c>
      <c r="E17" s="6" t="s">
        <v>64</v>
      </c>
      <c r="F17" s="6" t="s">
        <v>65</v>
      </c>
      <c r="G17" s="8">
        <v>260000</v>
      </c>
      <c r="H17">
        <f>VLOOKUP(A17,Kundlista2!A:G,7,FALSE)</f>
        <v>260000</v>
      </c>
      <c r="I17" t="str">
        <f t="shared" si="0"/>
        <v>OK</v>
      </c>
    </row>
    <row r="18" spans="1:9" x14ac:dyDescent="0.2">
      <c r="A18" s="6" t="s">
        <v>66</v>
      </c>
      <c r="B18" s="6" t="s">
        <v>67</v>
      </c>
      <c r="C18" s="6" t="s">
        <v>38</v>
      </c>
      <c r="D18" s="6" t="s">
        <v>68</v>
      </c>
      <c r="E18" s="6" t="s">
        <v>69</v>
      </c>
      <c r="F18" s="6" t="s">
        <v>70</v>
      </c>
      <c r="G18" s="8">
        <v>12000</v>
      </c>
      <c r="H18">
        <f>VLOOKUP(A18,Kundlista2!A:G,7,FALSE)</f>
        <v>12000</v>
      </c>
      <c r="I18" t="str">
        <f t="shared" si="0"/>
        <v>OK</v>
      </c>
    </row>
    <row r="19" spans="1:9" x14ac:dyDescent="0.2">
      <c r="A19" s="6" t="s">
        <v>75</v>
      </c>
      <c r="B19" s="6" t="s">
        <v>76</v>
      </c>
      <c r="C19" s="6" t="s">
        <v>77</v>
      </c>
      <c r="D19" s="6" t="s">
        <v>78</v>
      </c>
      <c r="E19" s="6" t="s">
        <v>79</v>
      </c>
      <c r="F19" s="6" t="s">
        <v>80</v>
      </c>
      <c r="G19" s="8">
        <v>65000</v>
      </c>
      <c r="H19">
        <f>VLOOKUP(A19,Kundlista2!A:G,7,FALSE)</f>
        <v>65000</v>
      </c>
      <c r="I19" t="str">
        <f t="shared" si="0"/>
        <v>OK</v>
      </c>
    </row>
    <row r="20" spans="1:9" x14ac:dyDescent="0.2">
      <c r="A20" s="6" t="s">
        <v>81</v>
      </c>
      <c r="B20" s="6" t="s">
        <v>82</v>
      </c>
      <c r="C20" s="6" t="s">
        <v>31</v>
      </c>
      <c r="D20" s="6" t="s">
        <v>47</v>
      </c>
      <c r="E20" s="6" t="s">
        <v>83</v>
      </c>
      <c r="F20" s="6" t="s">
        <v>49</v>
      </c>
      <c r="G20" s="8">
        <v>3200</v>
      </c>
      <c r="H20">
        <f>VLOOKUP(A20,Kundlista2!A:G,7,FALSE)</f>
        <v>3200</v>
      </c>
      <c r="I20" t="str">
        <f t="shared" si="0"/>
        <v>OK</v>
      </c>
    </row>
    <row r="21" spans="1:9" x14ac:dyDescent="0.2">
      <c r="A21" s="6" t="s">
        <v>84</v>
      </c>
      <c r="B21" s="6" t="s">
        <v>85</v>
      </c>
      <c r="C21" s="6" t="s">
        <v>86</v>
      </c>
      <c r="D21" s="6" t="s">
        <v>87</v>
      </c>
      <c r="E21" s="6" t="s">
        <v>88</v>
      </c>
      <c r="F21" s="6" t="s">
        <v>10</v>
      </c>
      <c r="G21" s="8">
        <v>480100</v>
      </c>
      <c r="H21">
        <f>VLOOKUP(A21,Kundlista2!A:G,7,FALSE)</f>
        <v>480100</v>
      </c>
      <c r="I21" t="str">
        <f t="shared" si="0"/>
        <v>OK</v>
      </c>
    </row>
    <row r="22" spans="1:9" x14ac:dyDescent="0.2">
      <c r="A22" s="6" t="s">
        <v>89</v>
      </c>
      <c r="B22" s="6" t="s">
        <v>90</v>
      </c>
      <c r="C22" s="6" t="s">
        <v>62</v>
      </c>
      <c r="D22" s="6" t="s">
        <v>39</v>
      </c>
      <c r="E22" s="6" t="s">
        <v>91</v>
      </c>
      <c r="F22" s="6" t="s">
        <v>41</v>
      </c>
      <c r="G22" s="8">
        <v>48000</v>
      </c>
      <c r="H22">
        <f>VLOOKUP(A22,Kundlista2!A:G,7,FALSE)</f>
        <v>48000</v>
      </c>
      <c r="I22" t="str">
        <f t="shared" si="0"/>
        <v>OK</v>
      </c>
    </row>
    <row r="23" spans="1:9" x14ac:dyDescent="0.2">
      <c r="A23" s="6" t="s">
        <v>92</v>
      </c>
      <c r="B23" s="6" t="s">
        <v>93</v>
      </c>
      <c r="C23" s="6" t="s">
        <v>38</v>
      </c>
      <c r="D23" s="6" t="s">
        <v>94</v>
      </c>
      <c r="E23" s="6" t="s">
        <v>95</v>
      </c>
      <c r="F23" s="6" t="s">
        <v>96</v>
      </c>
      <c r="G23" s="8">
        <v>680000</v>
      </c>
      <c r="H23">
        <f>VLOOKUP(A23,Kundlista2!A:G,7,FALSE)</f>
        <v>680000</v>
      </c>
      <c r="I23" t="str">
        <f t="shared" si="0"/>
        <v>OK</v>
      </c>
    </row>
    <row r="24" spans="1:9" x14ac:dyDescent="0.2">
      <c r="A24" s="6" t="s">
        <v>97</v>
      </c>
      <c r="B24" s="6" t="s">
        <v>98</v>
      </c>
      <c r="C24" s="6" t="s">
        <v>99</v>
      </c>
      <c r="D24" s="6" t="s">
        <v>100</v>
      </c>
      <c r="E24" s="6" t="s">
        <v>101</v>
      </c>
      <c r="F24" s="6" t="s">
        <v>102</v>
      </c>
      <c r="G24" s="8">
        <v>1200000</v>
      </c>
      <c r="H24">
        <f>VLOOKUP(A24,Kundlista2!A:G,7,FALSE)</f>
        <v>1200000</v>
      </c>
      <c r="I24" t="str">
        <f t="shared" si="0"/>
        <v>OK</v>
      </c>
    </row>
    <row r="25" spans="1:9" x14ac:dyDescent="0.2">
      <c r="A25" s="6" t="s">
        <v>106</v>
      </c>
      <c r="B25" s="6" t="s">
        <v>107</v>
      </c>
      <c r="C25" s="6" t="s">
        <v>52</v>
      </c>
      <c r="D25" s="6" t="s">
        <v>108</v>
      </c>
      <c r="E25" s="6" t="s">
        <v>109</v>
      </c>
      <c r="F25" s="6" t="s">
        <v>35</v>
      </c>
      <c r="G25" s="8">
        <v>150000</v>
      </c>
      <c r="H25">
        <f>VLOOKUP(A25,Kundlista2!A:G,7,FALSE)</f>
        <v>150000</v>
      </c>
      <c r="I25" t="str">
        <f t="shared" si="0"/>
        <v>OK</v>
      </c>
    </row>
    <row r="26" spans="1:9" x14ac:dyDescent="0.2">
      <c r="A26" s="6" t="s">
        <v>110</v>
      </c>
      <c r="B26" s="6" t="s">
        <v>111</v>
      </c>
      <c r="C26" s="6" t="s">
        <v>38</v>
      </c>
      <c r="D26" s="6" t="s">
        <v>112</v>
      </c>
      <c r="E26" s="6" t="s">
        <v>113</v>
      </c>
      <c r="F26" s="6" t="s">
        <v>65</v>
      </c>
      <c r="G26" s="8">
        <v>48000</v>
      </c>
      <c r="H26">
        <f>VLOOKUP(A26,Kundlista2!A:G,7,FALSE)</f>
        <v>48000</v>
      </c>
      <c r="I26" t="str">
        <f t="shared" si="0"/>
        <v>OK</v>
      </c>
    </row>
    <row r="27" spans="1:9" x14ac:dyDescent="0.2">
      <c r="A27" s="6" t="s">
        <v>117</v>
      </c>
      <c r="B27" s="6" t="s">
        <v>118</v>
      </c>
      <c r="C27" s="6" t="s">
        <v>119</v>
      </c>
      <c r="D27" s="6" t="s">
        <v>120</v>
      </c>
      <c r="E27" s="6" t="s">
        <v>121</v>
      </c>
      <c r="F27" s="6" t="s">
        <v>122</v>
      </c>
      <c r="G27" s="8">
        <v>654000</v>
      </c>
      <c r="H27">
        <f>VLOOKUP(A27,Kundlista2!A:G,7,FALSE)</f>
        <v>654000</v>
      </c>
      <c r="I27" t="str">
        <f t="shared" si="0"/>
        <v>OK</v>
      </c>
    </row>
    <row r="28" spans="1:9" x14ac:dyDescent="0.2">
      <c r="A28" s="6" t="s">
        <v>123</v>
      </c>
      <c r="B28" s="6" t="s">
        <v>124</v>
      </c>
      <c r="C28" s="6" t="s">
        <v>125</v>
      </c>
      <c r="D28" s="6" t="s">
        <v>100</v>
      </c>
      <c r="E28" s="6" t="s">
        <v>126</v>
      </c>
      <c r="F28" s="6" t="s">
        <v>102</v>
      </c>
      <c r="G28" s="8">
        <v>23000</v>
      </c>
      <c r="H28">
        <f>VLOOKUP(A28,Kundlista2!A:G,7,FALSE)</f>
        <v>23000</v>
      </c>
      <c r="I28" t="str">
        <f t="shared" si="0"/>
        <v>OK</v>
      </c>
    </row>
    <row r="29" spans="1:9" ht="25.5" x14ac:dyDescent="0.2">
      <c r="A29" s="6" t="s">
        <v>127</v>
      </c>
      <c r="B29" s="6" t="s">
        <v>128</v>
      </c>
      <c r="C29" s="6" t="s">
        <v>77</v>
      </c>
      <c r="D29" s="6" t="s">
        <v>68</v>
      </c>
      <c r="E29" s="6" t="s">
        <v>129</v>
      </c>
      <c r="F29" s="6" t="s">
        <v>70</v>
      </c>
      <c r="G29" s="8">
        <v>123000</v>
      </c>
      <c r="H29">
        <f>VLOOKUP(A29,Kundlista2!A:G,7,FALSE)</f>
        <v>123000</v>
      </c>
      <c r="I29" t="str">
        <f t="shared" si="0"/>
        <v>OK</v>
      </c>
    </row>
    <row r="30" spans="1:9" x14ac:dyDescent="0.2">
      <c r="A30" s="6" t="s">
        <v>130</v>
      </c>
      <c r="B30" s="6" t="s">
        <v>131</v>
      </c>
      <c r="C30" s="6" t="s">
        <v>132</v>
      </c>
      <c r="D30" s="6" t="s">
        <v>133</v>
      </c>
      <c r="E30" s="6" t="s">
        <v>134</v>
      </c>
      <c r="F30" s="6" t="s">
        <v>65</v>
      </c>
      <c r="G30" s="8">
        <v>3200</v>
      </c>
      <c r="H30">
        <f>VLOOKUP(A30,Kundlista2!A:G,7,FALSE)</f>
        <v>3200</v>
      </c>
      <c r="I30" t="str">
        <f t="shared" si="0"/>
        <v>OK</v>
      </c>
    </row>
    <row r="31" spans="1:9" x14ac:dyDescent="0.2">
      <c r="A31" s="6" t="s">
        <v>135</v>
      </c>
      <c r="B31" s="6" t="s">
        <v>136</v>
      </c>
      <c r="C31" s="6" t="s">
        <v>38</v>
      </c>
      <c r="D31" s="6" t="s">
        <v>137</v>
      </c>
      <c r="E31" s="6" t="s">
        <v>138</v>
      </c>
      <c r="F31" s="6" t="s">
        <v>55</v>
      </c>
      <c r="G31" s="8">
        <v>35000</v>
      </c>
      <c r="H31">
        <f>VLOOKUP(A31,Kundlista2!A:G,7,FALSE)</f>
        <v>35000</v>
      </c>
      <c r="I31" t="str">
        <f t="shared" si="0"/>
        <v>OK</v>
      </c>
    </row>
    <row r="32" spans="1:9" x14ac:dyDescent="0.2">
      <c r="A32" s="6" t="s">
        <v>143</v>
      </c>
      <c r="B32" s="6" t="s">
        <v>144</v>
      </c>
      <c r="C32" s="6" t="s">
        <v>62</v>
      </c>
      <c r="D32" s="6" t="s">
        <v>112</v>
      </c>
      <c r="E32" s="6" t="s">
        <v>113</v>
      </c>
      <c r="F32" s="6" t="s">
        <v>65</v>
      </c>
      <c r="G32" s="8">
        <v>98000</v>
      </c>
      <c r="H32">
        <f>VLOOKUP(A32,Kundlista2!A:G,7,FALSE)</f>
        <v>98000</v>
      </c>
      <c r="I32" t="str">
        <f t="shared" si="0"/>
        <v>OK</v>
      </c>
    </row>
    <row r="33" spans="1:9" x14ac:dyDescent="0.2">
      <c r="A33" s="6" t="s">
        <v>145</v>
      </c>
      <c r="B33" s="6" t="s">
        <v>146</v>
      </c>
      <c r="C33" s="6" t="s">
        <v>31</v>
      </c>
      <c r="D33" s="6" t="s">
        <v>147</v>
      </c>
      <c r="E33" s="6" t="s">
        <v>148</v>
      </c>
      <c r="F33" s="6" t="s">
        <v>149</v>
      </c>
      <c r="G33" s="8">
        <v>45000</v>
      </c>
      <c r="H33">
        <f>VLOOKUP(A33,Kundlista2!A:G,7,FALSE)</f>
        <v>45000</v>
      </c>
      <c r="I33" t="str">
        <f t="shared" si="0"/>
        <v>OK</v>
      </c>
    </row>
    <row r="34" spans="1:9" x14ac:dyDescent="0.2">
      <c r="A34" s="6" t="s">
        <v>139</v>
      </c>
      <c r="B34" s="6" t="s">
        <v>140</v>
      </c>
      <c r="C34" s="6" t="s">
        <v>62</v>
      </c>
      <c r="D34" s="6" t="s">
        <v>141</v>
      </c>
      <c r="E34" s="6" t="s">
        <v>142</v>
      </c>
      <c r="F34" s="6" t="s">
        <v>35</v>
      </c>
      <c r="G34" s="8">
        <v>48000</v>
      </c>
      <c r="H34">
        <f>VLOOKUP(A34,Kundlista2!A:G,7,FALSE)</f>
        <v>48000</v>
      </c>
      <c r="I34" t="str">
        <f t="shared" ref="I34:I65" si="1">IF(G34&lt;&gt;H34,G34-H34,"OK")</f>
        <v>OK</v>
      </c>
    </row>
    <row r="35" spans="1:9" ht="25.5" x14ac:dyDescent="0.2">
      <c r="A35" s="6" t="s">
        <v>150</v>
      </c>
      <c r="B35" s="6" t="s">
        <v>151</v>
      </c>
      <c r="C35" s="6" t="s">
        <v>119</v>
      </c>
      <c r="D35" s="6" t="s">
        <v>152</v>
      </c>
      <c r="E35" s="6" t="s">
        <v>153</v>
      </c>
      <c r="F35" s="6" t="s">
        <v>18</v>
      </c>
      <c r="G35" s="8">
        <v>35000</v>
      </c>
      <c r="H35">
        <f>VLOOKUP(A35,Kundlista2!A:G,7,FALSE)</f>
        <v>35000</v>
      </c>
      <c r="I35" t="str">
        <f t="shared" si="1"/>
        <v>OK</v>
      </c>
    </row>
    <row r="36" spans="1:9" x14ac:dyDescent="0.2">
      <c r="A36" s="6" t="s">
        <v>154</v>
      </c>
      <c r="B36" s="6" t="s">
        <v>155</v>
      </c>
      <c r="C36" s="6" t="s">
        <v>62</v>
      </c>
      <c r="D36" s="6" t="s">
        <v>156</v>
      </c>
      <c r="E36" s="6" t="s">
        <v>157</v>
      </c>
      <c r="F36" s="6" t="s">
        <v>70</v>
      </c>
      <c r="G36" s="8">
        <v>59000</v>
      </c>
      <c r="H36">
        <f>VLOOKUP(A36,Kundlista2!A:G,7,FALSE)</f>
        <v>59000</v>
      </c>
      <c r="I36" t="str">
        <f t="shared" si="1"/>
        <v>OK</v>
      </c>
    </row>
    <row r="37" spans="1:9" x14ac:dyDescent="0.2">
      <c r="A37" s="6" t="s">
        <v>158</v>
      </c>
      <c r="B37" s="6" t="s">
        <v>159</v>
      </c>
      <c r="C37" s="6" t="s">
        <v>119</v>
      </c>
      <c r="D37" s="6" t="s">
        <v>160</v>
      </c>
      <c r="E37" s="6" t="s">
        <v>161</v>
      </c>
      <c r="F37" s="6" t="s">
        <v>70</v>
      </c>
      <c r="G37" s="8">
        <v>32000</v>
      </c>
      <c r="H37">
        <f>VLOOKUP(A37,Kundlista2!A:G,7,FALSE)</f>
        <v>32000</v>
      </c>
      <c r="I37" t="str">
        <f t="shared" si="1"/>
        <v>OK</v>
      </c>
    </row>
    <row r="38" spans="1:9" x14ac:dyDescent="0.2">
      <c r="A38" s="6" t="s">
        <v>162</v>
      </c>
      <c r="B38" s="6" t="s">
        <v>163</v>
      </c>
      <c r="C38" s="6" t="s">
        <v>99</v>
      </c>
      <c r="D38" s="6" t="s">
        <v>164</v>
      </c>
      <c r="E38" s="6" t="s">
        <v>165</v>
      </c>
      <c r="F38" s="6" t="s">
        <v>102</v>
      </c>
      <c r="G38" s="8">
        <v>48000</v>
      </c>
      <c r="H38">
        <f>VLOOKUP(A38,Kundlista2!A:G,7,FALSE)</f>
        <v>48000</v>
      </c>
      <c r="I38" t="str">
        <f t="shared" si="1"/>
        <v>OK</v>
      </c>
    </row>
    <row r="39" spans="1:9" x14ac:dyDescent="0.2">
      <c r="A39" s="6" t="s">
        <v>166</v>
      </c>
      <c r="B39" s="6" t="s">
        <v>167</v>
      </c>
      <c r="C39" s="6" t="s">
        <v>62</v>
      </c>
      <c r="D39" s="6" t="s">
        <v>168</v>
      </c>
      <c r="E39" s="6" t="s">
        <v>169</v>
      </c>
      <c r="F39" s="6" t="s">
        <v>170</v>
      </c>
      <c r="G39" s="8">
        <v>9870</v>
      </c>
      <c r="H39">
        <f>VLOOKUP(A39,Kundlista2!A:G,7,FALSE)</f>
        <v>9870</v>
      </c>
      <c r="I39" t="str">
        <f t="shared" si="1"/>
        <v>OK</v>
      </c>
    </row>
    <row r="40" spans="1:9" x14ac:dyDescent="0.2">
      <c r="A40" s="6" t="s">
        <v>180</v>
      </c>
      <c r="B40" s="6" t="s">
        <v>181</v>
      </c>
      <c r="C40" s="6" t="s">
        <v>31</v>
      </c>
      <c r="D40" s="6" t="s">
        <v>182</v>
      </c>
      <c r="E40" s="6" t="s">
        <v>183</v>
      </c>
      <c r="F40" s="6" t="s">
        <v>175</v>
      </c>
      <c r="G40" s="8">
        <v>35000</v>
      </c>
      <c r="H40">
        <f>VLOOKUP(A40,Kundlista2!A:G,7,FALSE)</f>
        <v>35000</v>
      </c>
      <c r="I40" t="str">
        <f t="shared" si="1"/>
        <v>OK</v>
      </c>
    </row>
    <row r="41" spans="1:9" x14ac:dyDescent="0.2">
      <c r="A41" s="6" t="s">
        <v>184</v>
      </c>
      <c r="B41" s="6" t="s">
        <v>185</v>
      </c>
      <c r="C41" s="6" t="s">
        <v>31</v>
      </c>
      <c r="D41" s="6" t="s">
        <v>186</v>
      </c>
      <c r="E41" s="6" t="s">
        <v>187</v>
      </c>
      <c r="F41" s="6" t="s">
        <v>170</v>
      </c>
      <c r="G41" s="8">
        <v>5900</v>
      </c>
      <c r="H41">
        <f>VLOOKUP(A41,Kundlista2!A:G,7,FALSE)</f>
        <v>5900</v>
      </c>
      <c r="I41" t="str">
        <f t="shared" si="1"/>
        <v>OK</v>
      </c>
    </row>
    <row r="42" spans="1:9" x14ac:dyDescent="0.2">
      <c r="A42" s="6" t="s">
        <v>188</v>
      </c>
      <c r="B42" s="6" t="s">
        <v>189</v>
      </c>
      <c r="C42" s="6" t="s">
        <v>99</v>
      </c>
      <c r="D42" s="6" t="s">
        <v>190</v>
      </c>
      <c r="E42" s="6" t="s">
        <v>33</v>
      </c>
      <c r="F42" s="6" t="s">
        <v>191</v>
      </c>
      <c r="G42" s="8">
        <v>987100</v>
      </c>
      <c r="H42">
        <f>VLOOKUP(A42,Kundlista2!A:G,7,FALSE)</f>
        <v>987100</v>
      </c>
      <c r="I42" t="str">
        <f t="shared" si="1"/>
        <v>OK</v>
      </c>
    </row>
    <row r="43" spans="1:9" x14ac:dyDescent="0.2">
      <c r="A43" s="6" t="s">
        <v>192</v>
      </c>
      <c r="B43" s="6" t="s">
        <v>193</v>
      </c>
      <c r="C43" s="6" t="s">
        <v>62</v>
      </c>
      <c r="D43" s="6" t="s">
        <v>194</v>
      </c>
      <c r="E43" s="6" t="s">
        <v>195</v>
      </c>
      <c r="F43" s="6" t="s">
        <v>49</v>
      </c>
      <c r="G43" s="8">
        <v>32100</v>
      </c>
      <c r="H43">
        <f>VLOOKUP(A43,Kundlista2!A:G,7,FALSE)</f>
        <v>32100</v>
      </c>
      <c r="I43" t="str">
        <f t="shared" si="1"/>
        <v>OK</v>
      </c>
    </row>
    <row r="44" spans="1:9" x14ac:dyDescent="0.2">
      <c r="A44" s="6" t="s">
        <v>196</v>
      </c>
      <c r="B44" s="6" t="s">
        <v>197</v>
      </c>
      <c r="C44" s="6" t="s">
        <v>99</v>
      </c>
      <c r="D44" s="6" t="s">
        <v>198</v>
      </c>
      <c r="E44" s="6" t="s">
        <v>199</v>
      </c>
      <c r="F44" s="6" t="s">
        <v>35</v>
      </c>
      <c r="G44" s="8">
        <v>45000</v>
      </c>
      <c r="H44">
        <f>VLOOKUP(A44,Kundlista2!A:G,7,FALSE)</f>
        <v>45000</v>
      </c>
      <c r="I44" t="str">
        <f t="shared" si="1"/>
        <v>OK</v>
      </c>
    </row>
    <row r="45" spans="1:9" x14ac:dyDescent="0.2">
      <c r="A45" s="6" t="s">
        <v>200</v>
      </c>
      <c r="B45" s="6" t="s">
        <v>201</v>
      </c>
      <c r="C45" s="6" t="s">
        <v>31</v>
      </c>
      <c r="D45" s="6" t="s">
        <v>202</v>
      </c>
      <c r="E45" s="6" t="s">
        <v>203</v>
      </c>
      <c r="F45" s="6" t="s">
        <v>65</v>
      </c>
      <c r="G45" s="8">
        <v>65800</v>
      </c>
      <c r="H45">
        <f>VLOOKUP(A45,Kundlista2!A:G,7,FALSE)</f>
        <v>65800</v>
      </c>
      <c r="I45" t="str">
        <f t="shared" si="1"/>
        <v>OK</v>
      </c>
    </row>
    <row r="46" spans="1:9" x14ac:dyDescent="0.2">
      <c r="A46" s="6" t="s">
        <v>204</v>
      </c>
      <c r="B46" s="6" t="s">
        <v>205</v>
      </c>
      <c r="C46" s="6" t="s">
        <v>119</v>
      </c>
      <c r="D46" s="6" t="s">
        <v>206</v>
      </c>
      <c r="E46" s="6" t="s">
        <v>207</v>
      </c>
      <c r="F46" s="6" t="s">
        <v>65</v>
      </c>
      <c r="G46" s="8">
        <v>6500</v>
      </c>
      <c r="H46">
        <f>VLOOKUP(A46,Kundlista2!A:G,7,FALSE)</f>
        <v>6500</v>
      </c>
      <c r="I46" t="str">
        <f t="shared" si="1"/>
        <v>OK</v>
      </c>
    </row>
    <row r="47" spans="1:9" ht="25.5" x14ac:dyDescent="0.2">
      <c r="A47" s="6" t="s">
        <v>208</v>
      </c>
      <c r="B47" s="6" t="s">
        <v>209</v>
      </c>
      <c r="C47" s="6" t="s">
        <v>125</v>
      </c>
      <c r="D47" s="6" t="s">
        <v>210</v>
      </c>
      <c r="E47" s="6" t="s">
        <v>211</v>
      </c>
      <c r="F47" s="6" t="s">
        <v>80</v>
      </c>
      <c r="G47" s="8">
        <v>32000</v>
      </c>
      <c r="H47">
        <f>VLOOKUP(A47,Kundlista2!A:G,7,FALSE)</f>
        <v>32000</v>
      </c>
      <c r="I47" t="str">
        <f t="shared" si="1"/>
        <v>OK</v>
      </c>
    </row>
    <row r="48" spans="1:9" x14ac:dyDescent="0.2">
      <c r="A48" s="6" t="s">
        <v>212</v>
      </c>
      <c r="B48" s="6" t="s">
        <v>213</v>
      </c>
      <c r="C48" s="6" t="s">
        <v>62</v>
      </c>
      <c r="D48" s="6" t="s">
        <v>372</v>
      </c>
      <c r="E48" s="6" t="s">
        <v>214</v>
      </c>
      <c r="F48" s="6" t="s">
        <v>170</v>
      </c>
      <c r="G48" s="8">
        <v>89000</v>
      </c>
      <c r="H48">
        <f>VLOOKUP(A48,Kundlista2!A:G,7,FALSE)</f>
        <v>89000</v>
      </c>
      <c r="I48" t="str">
        <f t="shared" si="1"/>
        <v>OK</v>
      </c>
    </row>
    <row r="49" spans="1:9" x14ac:dyDescent="0.2">
      <c r="A49" s="6" t="s">
        <v>215</v>
      </c>
      <c r="B49" s="6" t="s">
        <v>216</v>
      </c>
      <c r="C49" s="6" t="s">
        <v>31</v>
      </c>
      <c r="D49" s="6" t="s">
        <v>217</v>
      </c>
      <c r="E49" s="6" t="s">
        <v>218</v>
      </c>
      <c r="F49" s="6" t="s">
        <v>35</v>
      </c>
      <c r="G49" s="8">
        <v>7800</v>
      </c>
      <c r="H49">
        <f>VLOOKUP(A49,Kundlista2!A:G,7,FALSE)</f>
        <v>7800</v>
      </c>
      <c r="I49" t="str">
        <f t="shared" si="1"/>
        <v>OK</v>
      </c>
    </row>
    <row r="50" spans="1:9" x14ac:dyDescent="0.2">
      <c r="A50" s="6" t="s">
        <v>219</v>
      </c>
      <c r="B50" s="6" t="s">
        <v>220</v>
      </c>
      <c r="C50" s="6" t="s">
        <v>38</v>
      </c>
      <c r="D50" s="6" t="s">
        <v>221</v>
      </c>
      <c r="E50" s="6" t="s">
        <v>222</v>
      </c>
      <c r="F50" s="6" t="s">
        <v>170</v>
      </c>
      <c r="G50" s="8">
        <v>65000</v>
      </c>
      <c r="H50">
        <f>VLOOKUP(A50,Kundlista2!A:G,7,FALSE)</f>
        <v>65000</v>
      </c>
      <c r="I50" t="str">
        <f t="shared" si="1"/>
        <v>OK</v>
      </c>
    </row>
    <row r="51" spans="1:9" x14ac:dyDescent="0.2">
      <c r="A51" s="6" t="s">
        <v>223</v>
      </c>
      <c r="B51" s="6" t="s">
        <v>224</v>
      </c>
      <c r="C51" s="6" t="s">
        <v>77</v>
      </c>
      <c r="D51" s="6" t="s">
        <v>225</v>
      </c>
      <c r="E51" s="6" t="s">
        <v>226</v>
      </c>
      <c r="F51" s="6" t="s">
        <v>175</v>
      </c>
      <c r="G51" s="8">
        <v>6500</v>
      </c>
      <c r="H51">
        <f>VLOOKUP(A51,Kundlista2!A:G,7,FALSE)</f>
        <v>6500</v>
      </c>
      <c r="I51" t="str">
        <f t="shared" si="1"/>
        <v>OK</v>
      </c>
    </row>
    <row r="52" spans="1:9" x14ac:dyDescent="0.2">
      <c r="A52" s="6" t="s">
        <v>231</v>
      </c>
      <c r="B52" s="6" t="s">
        <v>232</v>
      </c>
      <c r="C52" s="6" t="s">
        <v>119</v>
      </c>
      <c r="D52" s="6" t="s">
        <v>233</v>
      </c>
      <c r="E52" s="6" t="s">
        <v>234</v>
      </c>
      <c r="F52" s="6" t="s">
        <v>170</v>
      </c>
      <c r="G52" s="8">
        <v>1500</v>
      </c>
      <c r="H52">
        <f>VLOOKUP(A52,Kundlista2!A:G,7,FALSE)</f>
        <v>1500</v>
      </c>
      <c r="I52" t="str">
        <f t="shared" si="1"/>
        <v>OK</v>
      </c>
    </row>
    <row r="53" spans="1:9" x14ac:dyDescent="0.2">
      <c r="A53" s="6" t="s">
        <v>235</v>
      </c>
      <c r="B53" s="6" t="s">
        <v>236</v>
      </c>
      <c r="C53" s="6" t="s">
        <v>62</v>
      </c>
      <c r="D53" s="6" t="s">
        <v>237</v>
      </c>
      <c r="E53" s="6" t="s">
        <v>238</v>
      </c>
      <c r="F53" s="6" t="s">
        <v>149</v>
      </c>
      <c r="G53" s="8">
        <v>65400</v>
      </c>
      <c r="H53">
        <f>VLOOKUP(A53,Kundlista2!A:G,7,FALSE)</f>
        <v>65400</v>
      </c>
      <c r="I53" t="str">
        <f t="shared" si="1"/>
        <v>OK</v>
      </c>
    </row>
    <row r="54" spans="1:9" x14ac:dyDescent="0.2">
      <c r="A54" s="6" t="s">
        <v>239</v>
      </c>
      <c r="B54" s="6" t="s">
        <v>240</v>
      </c>
      <c r="C54" s="6" t="s">
        <v>86</v>
      </c>
      <c r="D54" s="6" t="s">
        <v>241</v>
      </c>
      <c r="E54" s="6" t="s">
        <v>242</v>
      </c>
      <c r="F54" s="6" t="s">
        <v>243</v>
      </c>
      <c r="G54" s="8">
        <v>89000</v>
      </c>
      <c r="H54">
        <f>VLOOKUP(A54,Kundlista2!A:G,7,FALSE)</f>
        <v>89000</v>
      </c>
      <c r="I54" t="str">
        <f t="shared" si="1"/>
        <v>OK</v>
      </c>
    </row>
    <row r="55" spans="1:9" x14ac:dyDescent="0.2">
      <c r="A55" s="6" t="s">
        <v>244</v>
      </c>
      <c r="B55" s="6" t="s">
        <v>245</v>
      </c>
      <c r="C55" s="6" t="s">
        <v>125</v>
      </c>
      <c r="D55" s="6" t="s">
        <v>246</v>
      </c>
      <c r="E55" s="6" t="s">
        <v>247</v>
      </c>
      <c r="F55" s="6" t="s">
        <v>80</v>
      </c>
      <c r="G55" s="8">
        <v>78900</v>
      </c>
      <c r="H55">
        <f>VLOOKUP(A55,Kundlista2!A:G,7,FALSE)</f>
        <v>78900</v>
      </c>
      <c r="I55" t="str">
        <f t="shared" si="1"/>
        <v>OK</v>
      </c>
    </row>
    <row r="56" spans="1:9" x14ac:dyDescent="0.2">
      <c r="A56" s="6" t="s">
        <v>248</v>
      </c>
      <c r="B56" s="6" t="s">
        <v>249</v>
      </c>
      <c r="C56" s="6" t="s">
        <v>125</v>
      </c>
      <c r="D56" s="6" t="s">
        <v>250</v>
      </c>
      <c r="E56" s="6" t="s">
        <v>251</v>
      </c>
      <c r="F56" s="6" t="s">
        <v>35</v>
      </c>
      <c r="G56" s="8">
        <v>2300</v>
      </c>
      <c r="H56">
        <f>VLOOKUP(A56,Kundlista2!A:G,7,FALSE)</f>
        <v>2300</v>
      </c>
      <c r="I56" t="str">
        <f t="shared" si="1"/>
        <v>OK</v>
      </c>
    </row>
    <row r="57" spans="1:9" x14ac:dyDescent="0.2">
      <c r="A57" s="6" t="s">
        <v>252</v>
      </c>
      <c r="B57" s="6" t="s">
        <v>253</v>
      </c>
      <c r="C57" s="6" t="s">
        <v>99</v>
      </c>
      <c r="D57" s="6" t="s">
        <v>47</v>
      </c>
      <c r="E57" s="6" t="s">
        <v>254</v>
      </c>
      <c r="F57" s="6" t="s">
        <v>49</v>
      </c>
      <c r="G57" s="8">
        <v>2600</v>
      </c>
      <c r="H57">
        <f>VLOOKUP(A57,Kundlista2!A:G,7,FALSE)</f>
        <v>2600</v>
      </c>
      <c r="I57" t="str">
        <f t="shared" si="1"/>
        <v>OK</v>
      </c>
    </row>
    <row r="58" spans="1:9" x14ac:dyDescent="0.2">
      <c r="A58" s="6" t="s">
        <v>255</v>
      </c>
      <c r="B58" s="6" t="s">
        <v>256</v>
      </c>
      <c r="C58" s="6" t="s">
        <v>86</v>
      </c>
      <c r="D58" s="6" t="s">
        <v>87</v>
      </c>
      <c r="E58" s="6" t="s">
        <v>88</v>
      </c>
      <c r="F58" s="6" t="s">
        <v>10</v>
      </c>
      <c r="G58" s="8">
        <v>4500</v>
      </c>
      <c r="H58">
        <f>VLOOKUP(A58,Kundlista2!A:G,7,FALSE)</f>
        <v>4500</v>
      </c>
      <c r="I58" t="str">
        <f t="shared" si="1"/>
        <v>OK</v>
      </c>
    </row>
    <row r="59" spans="1:9" x14ac:dyDescent="0.2">
      <c r="A59" s="6" t="s">
        <v>258</v>
      </c>
      <c r="B59" s="6" t="s">
        <v>259</v>
      </c>
      <c r="C59" s="6" t="s">
        <v>31</v>
      </c>
      <c r="D59" s="6" t="s">
        <v>39</v>
      </c>
      <c r="E59" s="6" t="s">
        <v>260</v>
      </c>
      <c r="F59" s="6" t="s">
        <v>41</v>
      </c>
      <c r="G59" s="8">
        <v>9800</v>
      </c>
      <c r="H59">
        <f>VLOOKUP(A59,Kundlista2!A:G,7,FALSE)</f>
        <v>9800</v>
      </c>
      <c r="I59" t="str">
        <f t="shared" si="1"/>
        <v>OK</v>
      </c>
    </row>
    <row r="60" spans="1:9" x14ac:dyDescent="0.2">
      <c r="A60" s="6" t="s">
        <v>261</v>
      </c>
      <c r="B60" s="6" t="s">
        <v>262</v>
      </c>
      <c r="C60" s="6" t="s">
        <v>119</v>
      </c>
      <c r="D60" s="6" t="s">
        <v>263</v>
      </c>
      <c r="E60" s="6" t="s">
        <v>264</v>
      </c>
      <c r="F60" s="6" t="s">
        <v>122</v>
      </c>
      <c r="G60" s="8">
        <v>2300</v>
      </c>
      <c r="H60">
        <f>VLOOKUP(A60,Kundlista2!A:G,7,FALSE)</f>
        <v>2300</v>
      </c>
      <c r="I60" t="str">
        <f t="shared" si="1"/>
        <v>OK</v>
      </c>
    </row>
    <row r="61" spans="1:9" x14ac:dyDescent="0.2">
      <c r="A61" s="6" t="s">
        <v>265</v>
      </c>
      <c r="B61" s="6" t="s">
        <v>266</v>
      </c>
      <c r="C61" s="6" t="s">
        <v>31</v>
      </c>
      <c r="D61" s="6" t="s">
        <v>152</v>
      </c>
      <c r="E61" s="6" t="s">
        <v>267</v>
      </c>
      <c r="F61" s="6" t="s">
        <v>18</v>
      </c>
      <c r="G61" s="8">
        <v>1500</v>
      </c>
      <c r="H61">
        <f>VLOOKUP(A61,Kundlista2!A:G,7,FALSE)</f>
        <v>1500</v>
      </c>
      <c r="I61" t="str">
        <f t="shared" si="1"/>
        <v>OK</v>
      </c>
    </row>
    <row r="62" spans="1:9" x14ac:dyDescent="0.2">
      <c r="A62" s="6" t="s">
        <v>268</v>
      </c>
      <c r="B62" s="6" t="s">
        <v>269</v>
      </c>
      <c r="C62" s="6" t="s">
        <v>77</v>
      </c>
      <c r="D62" s="6" t="s">
        <v>178</v>
      </c>
      <c r="E62" s="6" t="s">
        <v>270</v>
      </c>
      <c r="F62" s="6" t="s">
        <v>102</v>
      </c>
      <c r="G62" s="8">
        <v>4800</v>
      </c>
      <c r="H62">
        <f>VLOOKUP(A62,Kundlista2!A:G,7,FALSE)</f>
        <v>4800</v>
      </c>
      <c r="I62" t="str">
        <f t="shared" si="1"/>
        <v>OK</v>
      </c>
    </row>
    <row r="63" spans="1:9" x14ac:dyDescent="0.2">
      <c r="A63" s="6" t="s">
        <v>271</v>
      </c>
      <c r="B63" s="6" t="s">
        <v>272</v>
      </c>
      <c r="C63" s="6" t="s">
        <v>125</v>
      </c>
      <c r="D63" s="6" t="s">
        <v>100</v>
      </c>
      <c r="E63" s="6" t="s">
        <v>273</v>
      </c>
      <c r="F63" s="6" t="s">
        <v>102</v>
      </c>
      <c r="G63" s="8">
        <v>98000</v>
      </c>
      <c r="H63">
        <f>VLOOKUP(A63,Kundlista2!A:G,7,FALSE)</f>
        <v>98000</v>
      </c>
      <c r="I63" t="str">
        <f t="shared" si="1"/>
        <v>OK</v>
      </c>
    </row>
    <row r="64" spans="1:9" x14ac:dyDescent="0.2">
      <c r="A64" s="6" t="s">
        <v>274</v>
      </c>
      <c r="B64" s="6" t="s">
        <v>275</v>
      </c>
      <c r="C64" s="6" t="s">
        <v>77</v>
      </c>
      <c r="D64" s="6" t="s">
        <v>276</v>
      </c>
      <c r="E64" s="6" t="s">
        <v>277</v>
      </c>
      <c r="F64" s="6" t="s">
        <v>35</v>
      </c>
      <c r="G64" s="8">
        <v>32000</v>
      </c>
      <c r="H64">
        <f>VLOOKUP(A64,Kundlista2!A:G,7,FALSE)</f>
        <v>32000</v>
      </c>
      <c r="I64" t="str">
        <f t="shared" si="1"/>
        <v>OK</v>
      </c>
    </row>
    <row r="65" spans="1:9" x14ac:dyDescent="0.2">
      <c r="A65" s="6" t="s">
        <v>278</v>
      </c>
      <c r="B65" s="6" t="s">
        <v>279</v>
      </c>
      <c r="C65" s="6" t="s">
        <v>31</v>
      </c>
      <c r="D65" s="6" t="s">
        <v>87</v>
      </c>
      <c r="E65" s="6" t="s">
        <v>88</v>
      </c>
      <c r="F65" s="6" t="s">
        <v>10</v>
      </c>
      <c r="G65" s="8">
        <v>1500</v>
      </c>
      <c r="H65">
        <f>VLOOKUP(A65,Kundlista2!A:G,7,FALSE)</f>
        <v>1500</v>
      </c>
      <c r="I65" t="str">
        <f t="shared" si="1"/>
        <v>OK</v>
      </c>
    </row>
    <row r="66" spans="1:9" ht="25.5" x14ac:dyDescent="0.2">
      <c r="A66" s="6" t="s">
        <v>280</v>
      </c>
      <c r="B66" s="6" t="s">
        <v>281</v>
      </c>
      <c r="C66" s="6" t="s">
        <v>282</v>
      </c>
      <c r="D66" s="6" t="s">
        <v>283</v>
      </c>
      <c r="E66" s="6" t="s">
        <v>284</v>
      </c>
      <c r="F66" s="6" t="s">
        <v>170</v>
      </c>
      <c r="G66" s="8">
        <v>871110</v>
      </c>
      <c r="H66">
        <f>VLOOKUP(A66,Kundlista2!A:G,7,FALSE)</f>
        <v>871110</v>
      </c>
      <c r="I66" t="str">
        <f t="shared" ref="I66:I89" si="2">IF(G66&lt;&gt;H66,G66-H66,"OK")</f>
        <v>OK</v>
      </c>
    </row>
    <row r="67" spans="1:9" x14ac:dyDescent="0.2">
      <c r="A67" s="6" t="s">
        <v>285</v>
      </c>
      <c r="B67" s="6" t="s">
        <v>286</v>
      </c>
      <c r="C67" s="6" t="s">
        <v>99</v>
      </c>
      <c r="D67" s="6" t="s">
        <v>287</v>
      </c>
      <c r="E67" s="6" t="s">
        <v>288</v>
      </c>
      <c r="F67" s="6" t="s">
        <v>149</v>
      </c>
      <c r="G67" s="8">
        <v>3200</v>
      </c>
      <c r="H67">
        <f>VLOOKUP(A67,Kundlista2!A:G,7,FALSE)</f>
        <v>3200</v>
      </c>
      <c r="I67" t="str">
        <f t="shared" si="2"/>
        <v>OK</v>
      </c>
    </row>
    <row r="68" spans="1:9" x14ac:dyDescent="0.2">
      <c r="A68" s="6" t="s">
        <v>289</v>
      </c>
      <c r="B68" s="6" t="s">
        <v>290</v>
      </c>
      <c r="C68" s="6" t="s">
        <v>132</v>
      </c>
      <c r="D68" s="6" t="s">
        <v>178</v>
      </c>
      <c r="E68" s="6" t="s">
        <v>291</v>
      </c>
      <c r="F68" s="6" t="s">
        <v>102</v>
      </c>
      <c r="G68" s="8">
        <v>98654</v>
      </c>
      <c r="H68">
        <f>VLOOKUP(A68,Kundlista2!A:G,7,FALSE)</f>
        <v>98654</v>
      </c>
      <c r="I68" t="str">
        <f t="shared" si="2"/>
        <v>OK</v>
      </c>
    </row>
    <row r="69" spans="1:9" x14ac:dyDescent="0.2">
      <c r="A69" s="6" t="s">
        <v>292</v>
      </c>
      <c r="B69" s="6" t="s">
        <v>293</v>
      </c>
      <c r="C69" s="6" t="s">
        <v>119</v>
      </c>
      <c r="D69" s="6" t="s">
        <v>294</v>
      </c>
      <c r="E69" s="6" t="s">
        <v>295</v>
      </c>
      <c r="F69" s="6" t="s">
        <v>96</v>
      </c>
      <c r="G69" s="8">
        <v>45665</v>
      </c>
      <c r="H69">
        <f>VLOOKUP(A69,Kundlista2!A:G,7,FALSE)</f>
        <v>45665</v>
      </c>
      <c r="I69" t="str">
        <f t="shared" si="2"/>
        <v>OK</v>
      </c>
    </row>
    <row r="70" spans="1:9" x14ac:dyDescent="0.2">
      <c r="A70" s="6" t="s">
        <v>296</v>
      </c>
      <c r="B70" s="6" t="s">
        <v>297</v>
      </c>
      <c r="C70" s="6" t="s">
        <v>77</v>
      </c>
      <c r="D70" s="6" t="s">
        <v>68</v>
      </c>
      <c r="E70" s="6" t="s">
        <v>298</v>
      </c>
      <c r="F70" s="6" t="s">
        <v>70</v>
      </c>
      <c r="G70" s="8">
        <v>32150</v>
      </c>
      <c r="H70">
        <f>VLOOKUP(A70,Kundlista2!A:G,7,FALSE)</f>
        <v>32150</v>
      </c>
      <c r="I70" t="str">
        <f t="shared" si="2"/>
        <v>OK</v>
      </c>
    </row>
    <row r="71" spans="1:9" x14ac:dyDescent="0.2">
      <c r="A71" s="6" t="s">
        <v>299</v>
      </c>
      <c r="B71" s="6" t="s">
        <v>300</v>
      </c>
      <c r="C71" s="6" t="s">
        <v>38</v>
      </c>
      <c r="D71" s="6" t="s">
        <v>301</v>
      </c>
      <c r="E71" s="6" t="s">
        <v>302</v>
      </c>
      <c r="F71" s="6" t="s">
        <v>303</v>
      </c>
      <c r="G71" s="8">
        <v>6500</v>
      </c>
      <c r="H71">
        <f>VLOOKUP(A71,Kundlista2!A:G,7,FALSE)</f>
        <v>6500</v>
      </c>
      <c r="I71" t="str">
        <f t="shared" si="2"/>
        <v>OK</v>
      </c>
    </row>
    <row r="72" spans="1:9" x14ac:dyDescent="0.2">
      <c r="A72" s="6" t="s">
        <v>304</v>
      </c>
      <c r="B72" s="6" t="s">
        <v>305</v>
      </c>
      <c r="C72" s="6" t="s">
        <v>31</v>
      </c>
      <c r="D72" s="6" t="s">
        <v>372</v>
      </c>
      <c r="E72" s="6" t="s">
        <v>306</v>
      </c>
      <c r="F72" s="6" t="s">
        <v>170</v>
      </c>
      <c r="G72" s="8">
        <v>9800</v>
      </c>
      <c r="H72">
        <f>VLOOKUP(A72,Kundlista2!A:G,7,FALSE)</f>
        <v>9800</v>
      </c>
      <c r="I72" t="str">
        <f t="shared" si="2"/>
        <v>OK</v>
      </c>
    </row>
    <row r="73" spans="1:9" x14ac:dyDescent="0.2">
      <c r="A73" s="6" t="s">
        <v>307</v>
      </c>
      <c r="B73" s="6" t="s">
        <v>308</v>
      </c>
      <c r="C73" s="6" t="s">
        <v>119</v>
      </c>
      <c r="D73" s="6" t="s">
        <v>47</v>
      </c>
      <c r="E73" s="6" t="s">
        <v>309</v>
      </c>
      <c r="F73" s="6" t="s">
        <v>49</v>
      </c>
      <c r="G73" s="8">
        <v>7800</v>
      </c>
      <c r="H73">
        <f>VLOOKUP(A73,Kundlista2!A:G,7,FALSE)</f>
        <v>7800</v>
      </c>
      <c r="I73" t="str">
        <f t="shared" si="2"/>
        <v>OK</v>
      </c>
    </row>
    <row r="74" spans="1:9" x14ac:dyDescent="0.2">
      <c r="A74" s="6" t="s">
        <v>310</v>
      </c>
      <c r="B74" s="6" t="s">
        <v>311</v>
      </c>
      <c r="C74" s="6" t="s">
        <v>38</v>
      </c>
      <c r="D74" s="6" t="s">
        <v>312</v>
      </c>
      <c r="E74" s="6" t="s">
        <v>313</v>
      </c>
      <c r="F74" s="6" t="s">
        <v>314</v>
      </c>
      <c r="G74" s="8">
        <v>9800</v>
      </c>
      <c r="H74">
        <f>VLOOKUP(A74,Kundlista2!A:G,7,FALSE)</f>
        <v>9800</v>
      </c>
      <c r="I74" t="str">
        <f t="shared" si="2"/>
        <v>OK</v>
      </c>
    </row>
    <row r="75" spans="1:9" x14ac:dyDescent="0.2">
      <c r="A75" s="6" t="s">
        <v>315</v>
      </c>
      <c r="B75" s="6" t="s">
        <v>316</v>
      </c>
      <c r="C75" s="6" t="s">
        <v>62</v>
      </c>
      <c r="D75" s="6" t="s">
        <v>257</v>
      </c>
      <c r="E75" s="6" t="s">
        <v>317</v>
      </c>
      <c r="F75" s="6" t="s">
        <v>65</v>
      </c>
      <c r="G75" s="8">
        <v>65420</v>
      </c>
      <c r="H75">
        <f>VLOOKUP(A75,Kundlista2!A:G,7,FALSE)</f>
        <v>65420</v>
      </c>
      <c r="I75" t="str">
        <f t="shared" si="2"/>
        <v>OK</v>
      </c>
    </row>
    <row r="76" spans="1:9" x14ac:dyDescent="0.2">
      <c r="A76" s="6" t="s">
        <v>318</v>
      </c>
      <c r="B76" s="6" t="s">
        <v>319</v>
      </c>
      <c r="C76" s="6" t="s">
        <v>119</v>
      </c>
      <c r="D76" s="6" t="s">
        <v>372</v>
      </c>
      <c r="E76" s="6" t="s">
        <v>320</v>
      </c>
      <c r="F76" s="6" t="s">
        <v>170</v>
      </c>
      <c r="G76" s="8">
        <v>32550</v>
      </c>
      <c r="H76">
        <f>VLOOKUP(A76,Kundlista2!A:G,7,FALSE)</f>
        <v>32550</v>
      </c>
      <c r="I76" t="str">
        <f t="shared" si="2"/>
        <v>OK</v>
      </c>
    </row>
    <row r="77" spans="1:9" x14ac:dyDescent="0.2">
      <c r="A77" s="6" t="s">
        <v>321</v>
      </c>
      <c r="B77" s="6" t="s">
        <v>322</v>
      </c>
      <c r="C77" s="6" t="s">
        <v>77</v>
      </c>
      <c r="D77" s="6" t="s">
        <v>323</v>
      </c>
      <c r="E77" s="6" t="s">
        <v>324</v>
      </c>
      <c r="F77" s="6" t="s">
        <v>243</v>
      </c>
      <c r="G77" s="8">
        <v>3200</v>
      </c>
      <c r="H77">
        <f>VLOOKUP(A77,Kundlista2!A:G,7,FALSE)</f>
        <v>3200</v>
      </c>
      <c r="I77" t="str">
        <f t="shared" si="2"/>
        <v>OK</v>
      </c>
    </row>
    <row r="78" spans="1:9" x14ac:dyDescent="0.2">
      <c r="A78" s="6" t="s">
        <v>325</v>
      </c>
      <c r="B78" s="6" t="s">
        <v>326</v>
      </c>
      <c r="C78" s="6" t="s">
        <v>62</v>
      </c>
      <c r="D78" s="6" t="s">
        <v>233</v>
      </c>
      <c r="E78" s="6" t="s">
        <v>327</v>
      </c>
      <c r="F78" s="6" t="s">
        <v>170</v>
      </c>
      <c r="G78" s="8">
        <v>6500</v>
      </c>
      <c r="H78">
        <f>VLOOKUP(A78,Kundlista2!A:G,7,FALSE)</f>
        <v>6500</v>
      </c>
      <c r="I78" t="str">
        <f t="shared" si="2"/>
        <v>OK</v>
      </c>
    </row>
    <row r="79" spans="1:9" x14ac:dyDescent="0.2">
      <c r="A79" s="6" t="s">
        <v>332</v>
      </c>
      <c r="B79" s="6" t="s">
        <v>333</v>
      </c>
      <c r="C79" s="6" t="s">
        <v>62</v>
      </c>
      <c r="D79" s="6" t="s">
        <v>334</v>
      </c>
      <c r="E79" s="6" t="s">
        <v>335</v>
      </c>
      <c r="F79" s="6" t="s">
        <v>35</v>
      </c>
      <c r="G79" s="8">
        <v>9800</v>
      </c>
      <c r="H79">
        <f>VLOOKUP(A79,Kundlista2!A:G,7,FALSE)</f>
        <v>9800</v>
      </c>
      <c r="I79" t="str">
        <f t="shared" si="2"/>
        <v>OK</v>
      </c>
    </row>
    <row r="80" spans="1:9" x14ac:dyDescent="0.2">
      <c r="A80" s="6" t="s">
        <v>336</v>
      </c>
      <c r="B80" s="6" t="s">
        <v>337</v>
      </c>
      <c r="C80" s="6" t="s">
        <v>38</v>
      </c>
      <c r="D80" s="6" t="s">
        <v>39</v>
      </c>
      <c r="E80" s="6" t="s">
        <v>260</v>
      </c>
      <c r="F80" s="6" t="s">
        <v>41</v>
      </c>
      <c r="G80" s="8">
        <v>4500</v>
      </c>
      <c r="H80">
        <f>VLOOKUP(A80,Kundlista2!A:G,7,FALSE)</f>
        <v>4500</v>
      </c>
      <c r="I80" t="str">
        <f t="shared" si="2"/>
        <v>OK</v>
      </c>
    </row>
    <row r="81" spans="1:9" x14ac:dyDescent="0.2">
      <c r="A81" s="6" t="s">
        <v>338</v>
      </c>
      <c r="B81" s="6" t="s">
        <v>339</v>
      </c>
      <c r="C81" s="6" t="s">
        <v>31</v>
      </c>
      <c r="D81" s="6" t="s">
        <v>100</v>
      </c>
      <c r="E81" s="6" t="s">
        <v>340</v>
      </c>
      <c r="F81" s="6" t="s">
        <v>102</v>
      </c>
      <c r="G81" s="8">
        <v>87540</v>
      </c>
      <c r="H81">
        <f>VLOOKUP(A81,Kundlista2!A:G,7,FALSE)</f>
        <v>87540</v>
      </c>
      <c r="I81" t="str">
        <f t="shared" si="2"/>
        <v>OK</v>
      </c>
    </row>
    <row r="82" spans="1:9" ht="25.5" x14ac:dyDescent="0.2">
      <c r="A82" s="6" t="s">
        <v>341</v>
      </c>
      <c r="B82" s="6" t="s">
        <v>342</v>
      </c>
      <c r="C82" s="6" t="s">
        <v>99</v>
      </c>
      <c r="D82" s="6" t="s">
        <v>343</v>
      </c>
      <c r="E82" s="6" t="s">
        <v>344</v>
      </c>
      <c r="F82" s="6" t="s">
        <v>170</v>
      </c>
      <c r="G82" s="8">
        <v>32000</v>
      </c>
      <c r="H82">
        <f>VLOOKUP(A82,Kundlista2!A:G,7,FALSE)</f>
        <v>32000</v>
      </c>
      <c r="I82" t="str">
        <f t="shared" si="2"/>
        <v>OK</v>
      </c>
    </row>
    <row r="83" spans="1:9" x14ac:dyDescent="0.2">
      <c r="A83" s="6" t="s">
        <v>345</v>
      </c>
      <c r="B83" s="6" t="s">
        <v>346</v>
      </c>
      <c r="C83" s="6" t="s">
        <v>119</v>
      </c>
      <c r="D83" s="6" t="s">
        <v>347</v>
      </c>
      <c r="E83" s="6" t="s">
        <v>348</v>
      </c>
      <c r="F83" s="6" t="s">
        <v>314</v>
      </c>
      <c r="G83" s="8">
        <v>65000</v>
      </c>
      <c r="H83">
        <f>VLOOKUP(A83,Kundlista2!A:G,7,FALSE)</f>
        <v>65000</v>
      </c>
      <c r="I83" t="str">
        <f t="shared" si="2"/>
        <v>OK</v>
      </c>
    </row>
    <row r="84" spans="1:9" x14ac:dyDescent="0.2">
      <c r="A84" s="6" t="s">
        <v>361</v>
      </c>
      <c r="B84" s="6" t="s">
        <v>362</v>
      </c>
      <c r="C84" s="6" t="s">
        <v>77</v>
      </c>
      <c r="D84" s="6" t="s">
        <v>363</v>
      </c>
      <c r="E84" s="6" t="s">
        <v>364</v>
      </c>
      <c r="F84" s="6" t="s">
        <v>365</v>
      </c>
      <c r="G84" s="8">
        <v>9870</v>
      </c>
      <c r="H84">
        <f>VLOOKUP(A84,Kundlista2!A:G,7,FALSE)</f>
        <v>9870</v>
      </c>
      <c r="I84" t="str">
        <f t="shared" si="2"/>
        <v>OK</v>
      </c>
    </row>
    <row r="85" spans="1:9" x14ac:dyDescent="0.2">
      <c r="A85" s="6" t="s">
        <v>370</v>
      </c>
      <c r="B85" s="6" t="s">
        <v>371</v>
      </c>
      <c r="C85" s="6" t="s">
        <v>38</v>
      </c>
      <c r="D85" s="6" t="s">
        <v>372</v>
      </c>
      <c r="E85" s="6" t="s">
        <v>373</v>
      </c>
      <c r="F85" s="6" t="s">
        <v>170</v>
      </c>
      <c r="G85" s="8">
        <v>32000</v>
      </c>
      <c r="H85">
        <f>VLOOKUP(A85,Kundlista2!A:G,7,FALSE)</f>
        <v>32000</v>
      </c>
      <c r="I85" t="str">
        <f t="shared" si="2"/>
        <v>OK</v>
      </c>
    </row>
    <row r="86" spans="1:9" x14ac:dyDescent="0.2">
      <c r="A86" s="6" t="s">
        <v>349</v>
      </c>
      <c r="B86" s="6" t="s">
        <v>350</v>
      </c>
      <c r="C86" s="6" t="s">
        <v>86</v>
      </c>
      <c r="D86" s="6" t="s">
        <v>351</v>
      </c>
      <c r="E86" s="6" t="s">
        <v>352</v>
      </c>
      <c r="F86" s="6" t="s">
        <v>65</v>
      </c>
      <c r="G86" s="8">
        <v>9800</v>
      </c>
      <c r="H86">
        <f>VLOOKUP(A86,Kundlista2!A:G,7,FALSE)</f>
        <v>9800</v>
      </c>
      <c r="I86" t="str">
        <f t="shared" si="2"/>
        <v>OK</v>
      </c>
    </row>
    <row r="87" spans="1:9" x14ac:dyDescent="0.2">
      <c r="A87" s="6" t="s">
        <v>374</v>
      </c>
      <c r="B87" s="6" t="s">
        <v>375</v>
      </c>
      <c r="C87" s="6" t="s">
        <v>376</v>
      </c>
      <c r="D87" s="6" t="s">
        <v>377</v>
      </c>
      <c r="E87" s="6" t="s">
        <v>378</v>
      </c>
      <c r="F87" s="6" t="s">
        <v>365</v>
      </c>
      <c r="G87" s="8">
        <v>4500</v>
      </c>
      <c r="H87">
        <f>VLOOKUP(A87,Kundlista2!A:G,7,FALSE)</f>
        <v>4500</v>
      </c>
      <c r="I87" t="str">
        <f t="shared" si="2"/>
        <v>OK</v>
      </c>
    </row>
    <row r="88" spans="1:9" x14ac:dyDescent="0.2">
      <c r="A88" s="6" t="s">
        <v>353</v>
      </c>
      <c r="B88" s="6" t="s">
        <v>354</v>
      </c>
      <c r="C88" s="6" t="s">
        <v>77</v>
      </c>
      <c r="D88" s="6" t="s">
        <v>355</v>
      </c>
      <c r="E88" s="6" t="s">
        <v>356</v>
      </c>
      <c r="F88" s="6" t="s">
        <v>65</v>
      </c>
      <c r="G88" s="8">
        <v>45000</v>
      </c>
      <c r="H88">
        <f>VLOOKUP(A88,Kundlista2!A:G,7,FALSE)</f>
        <v>45000</v>
      </c>
      <c r="I88" t="str">
        <f t="shared" si="2"/>
        <v>OK</v>
      </c>
    </row>
    <row r="89" spans="1:9" x14ac:dyDescent="0.2">
      <c r="A89" s="6" t="s">
        <v>379</v>
      </c>
      <c r="B89" s="6" t="s">
        <v>380</v>
      </c>
      <c r="C89" s="6" t="s">
        <v>38</v>
      </c>
      <c r="D89" s="6" t="s">
        <v>381</v>
      </c>
      <c r="E89" s="6" t="s">
        <v>382</v>
      </c>
      <c r="F89" s="6" t="s">
        <v>383</v>
      </c>
      <c r="G89" s="8">
        <v>65000</v>
      </c>
      <c r="H89">
        <f>VLOOKUP(A89,Kundlista2!A:G,7,FALSE)</f>
        <v>65000</v>
      </c>
      <c r="I89" t="str">
        <f t="shared" si="2"/>
        <v>OK</v>
      </c>
    </row>
  </sheetData>
  <sortState xmlns:xlrd2="http://schemas.microsoft.com/office/spreadsheetml/2017/richdata2" ref="A2:I89">
    <sortCondition sortBy="fontColor" ref="I2:I89" dxfId="8"/>
    <sortCondition sortBy="fontColor" ref="I2:I89" dxfId="7"/>
  </sortState>
  <phoneticPr fontId="2" type="noConversion"/>
  <conditionalFormatting sqref="A2:A89">
    <cfRule type="duplicateValues" dxfId="6" priority="4"/>
  </conditionalFormatting>
  <conditionalFormatting sqref="I2:I89">
    <cfRule type="cellIs" dxfId="5" priority="1" stopIfTrue="1" operator="notEqual">
      <formula>"OK"</formula>
    </cfRule>
    <cfRule type="cellIs" dxfId="4" priority="2" stopIfTrue="1" operator="equal">
      <formula>"OK"</formula>
    </cfRule>
    <cfRule type="containsErrors" dxfId="3" priority="3" stopIfTrue="1">
      <formula>ISERROR(I2)</formula>
    </cfRule>
  </conditionalFormatting>
  <pageMargins left="0.75" right="0.75" top="1" bottom="1" header="0.5" footer="0.5"/>
  <pageSetup paperSize="9" orientation="portrait" horizontalDpi="4294967295" verticalDpi="4294967295"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3"/>
  <dimension ref="A1:I85"/>
  <sheetViews>
    <sheetView workbookViewId="0">
      <pane ySplit="1" topLeftCell="A2" activePane="bottomLeft" state="frozen"/>
      <selection activeCell="C1" sqref="C1"/>
      <selection pane="bottomLeft" activeCell="C16" sqref="C16"/>
    </sheetView>
  </sheetViews>
  <sheetFormatPr defaultColWidth="26.7109375" defaultRowHeight="12.75" x14ac:dyDescent="0.2"/>
  <cols>
    <col min="1" max="1" width="25.85546875" bestFit="1" customWidth="1"/>
    <col min="2" max="2" width="22" bestFit="1" customWidth="1"/>
    <col min="3" max="3" width="23.85546875" bestFit="1" customWidth="1"/>
    <col min="4" max="4" width="13.140625" bestFit="1" customWidth="1"/>
    <col min="5" max="5" width="11.140625" bestFit="1" customWidth="1"/>
    <col min="6" max="6" width="10.5703125" bestFit="1" customWidth="1"/>
    <col min="7" max="7" width="12.42578125" bestFit="1" customWidth="1"/>
    <col min="8" max="8" width="11.7109375" customWidth="1"/>
  </cols>
  <sheetData>
    <row r="1" spans="1:9" x14ac:dyDescent="0.2">
      <c r="A1" s="63" t="s">
        <v>384</v>
      </c>
      <c r="B1" s="63" t="s">
        <v>385</v>
      </c>
      <c r="C1" s="63" t="s">
        <v>28</v>
      </c>
      <c r="D1" s="63" t="s">
        <v>386</v>
      </c>
      <c r="E1" s="63" t="s">
        <v>387</v>
      </c>
      <c r="F1" s="63" t="s">
        <v>5</v>
      </c>
      <c r="G1" s="64" t="s">
        <v>388</v>
      </c>
      <c r="I1" s="63" t="s">
        <v>5</v>
      </c>
    </row>
    <row r="2" spans="1:9" x14ac:dyDescent="0.2">
      <c r="A2" s="6" t="s">
        <v>29</v>
      </c>
      <c r="B2" s="6" t="s">
        <v>30</v>
      </c>
      <c r="C2" s="6" t="s">
        <v>31</v>
      </c>
      <c r="D2" s="6" t="s">
        <v>32</v>
      </c>
      <c r="E2" s="6" t="s">
        <v>34</v>
      </c>
      <c r="F2" s="6" t="s">
        <v>35</v>
      </c>
      <c r="G2" s="20">
        <v>10000</v>
      </c>
      <c r="I2" s="6" t="s">
        <v>35</v>
      </c>
    </row>
    <row r="3" spans="1:9" ht="25.5" x14ac:dyDescent="0.2">
      <c r="A3" s="6" t="s">
        <v>36</v>
      </c>
      <c r="B3" s="6" t="s">
        <v>37</v>
      </c>
      <c r="C3" s="6" t="s">
        <v>38</v>
      </c>
      <c r="D3" s="6" t="s">
        <v>39</v>
      </c>
      <c r="E3" s="6" t="s">
        <v>40</v>
      </c>
      <c r="F3" s="6" t="s">
        <v>41</v>
      </c>
      <c r="G3" s="20">
        <v>15000</v>
      </c>
      <c r="I3" s="6" t="s">
        <v>41</v>
      </c>
    </row>
    <row r="4" spans="1:9" x14ac:dyDescent="0.2">
      <c r="A4" s="6" t="s">
        <v>42</v>
      </c>
      <c r="B4" s="6" t="s">
        <v>43</v>
      </c>
      <c r="C4" s="6" t="s">
        <v>38</v>
      </c>
      <c r="D4" s="6" t="s">
        <v>39</v>
      </c>
      <c r="E4" s="6" t="s">
        <v>44</v>
      </c>
      <c r="F4" s="6" t="s">
        <v>41</v>
      </c>
      <c r="G4" s="20">
        <v>45000</v>
      </c>
      <c r="I4" s="6" t="s">
        <v>49</v>
      </c>
    </row>
    <row r="5" spans="1:9" x14ac:dyDescent="0.2">
      <c r="A5" s="6" t="s">
        <v>45</v>
      </c>
      <c r="B5" s="6" t="s">
        <v>46</v>
      </c>
      <c r="C5" s="6" t="s">
        <v>31</v>
      </c>
      <c r="D5" s="6" t="s">
        <v>47</v>
      </c>
      <c r="E5" s="6" t="s">
        <v>48</v>
      </c>
      <c r="F5" s="6" t="s">
        <v>49</v>
      </c>
      <c r="G5" s="20">
        <v>650000</v>
      </c>
      <c r="I5" s="6" t="s">
        <v>65</v>
      </c>
    </row>
    <row r="6" spans="1:9" x14ac:dyDescent="0.2">
      <c r="A6" s="6" t="s">
        <v>50</v>
      </c>
      <c r="B6" s="6" t="s">
        <v>51</v>
      </c>
      <c r="C6" s="6" t="s">
        <v>52</v>
      </c>
      <c r="D6" s="6" t="s">
        <v>53</v>
      </c>
      <c r="E6" s="6" t="s">
        <v>54</v>
      </c>
      <c r="F6" s="6" t="s">
        <v>49</v>
      </c>
      <c r="G6" s="20">
        <v>12000</v>
      </c>
      <c r="I6" s="6" t="s">
        <v>70</v>
      </c>
    </row>
    <row r="7" spans="1:9" x14ac:dyDescent="0.2">
      <c r="A7" s="6" t="s">
        <v>56</v>
      </c>
      <c r="B7" s="6" t="s">
        <v>57</v>
      </c>
      <c r="C7" s="6" t="s">
        <v>31</v>
      </c>
      <c r="D7" s="6" t="s">
        <v>58</v>
      </c>
      <c r="E7" s="6" t="s">
        <v>59</v>
      </c>
      <c r="F7" s="6" t="s">
        <v>35</v>
      </c>
      <c r="G7" s="20">
        <v>80000</v>
      </c>
      <c r="I7" s="6" t="s">
        <v>80</v>
      </c>
    </row>
    <row r="8" spans="1:9" x14ac:dyDescent="0.2">
      <c r="A8" s="6" t="s">
        <v>60</v>
      </c>
      <c r="B8" s="6" t="s">
        <v>61</v>
      </c>
      <c r="C8" s="6" t="s">
        <v>62</v>
      </c>
      <c r="D8" s="6" t="s">
        <v>63</v>
      </c>
      <c r="E8" s="6" t="s">
        <v>64</v>
      </c>
      <c r="F8" s="6" t="s">
        <v>65</v>
      </c>
      <c r="G8" s="20">
        <v>260000</v>
      </c>
      <c r="I8" s="6" t="s">
        <v>10</v>
      </c>
    </row>
    <row r="9" spans="1:9" x14ac:dyDescent="0.2">
      <c r="A9" s="6" t="s">
        <v>66</v>
      </c>
      <c r="B9" s="6" t="s">
        <v>67</v>
      </c>
      <c r="C9" s="6" t="s">
        <v>38</v>
      </c>
      <c r="D9" s="6" t="s">
        <v>68</v>
      </c>
      <c r="E9" s="6" t="s">
        <v>69</v>
      </c>
      <c r="F9" s="6" t="s">
        <v>70</v>
      </c>
      <c r="G9" s="20">
        <v>12000</v>
      </c>
      <c r="I9" s="6" t="s">
        <v>96</v>
      </c>
    </row>
    <row r="10" spans="1:9" x14ac:dyDescent="0.2">
      <c r="A10" s="6" t="s">
        <v>71</v>
      </c>
      <c r="B10" s="6" t="s">
        <v>72</v>
      </c>
      <c r="C10" s="6" t="s">
        <v>38</v>
      </c>
      <c r="D10" s="6" t="s">
        <v>73</v>
      </c>
      <c r="E10" s="6" t="s">
        <v>74</v>
      </c>
      <c r="F10" s="6" t="s">
        <v>65</v>
      </c>
      <c r="G10" s="20">
        <v>6000</v>
      </c>
      <c r="I10" s="6" t="s">
        <v>102</v>
      </c>
    </row>
    <row r="11" spans="1:9" x14ac:dyDescent="0.2">
      <c r="A11" s="6" t="s">
        <v>75</v>
      </c>
      <c r="B11" s="6" t="s">
        <v>76</v>
      </c>
      <c r="C11" s="6" t="s">
        <v>77</v>
      </c>
      <c r="D11" s="6" t="s">
        <v>78</v>
      </c>
      <c r="E11" s="6" t="s">
        <v>79</v>
      </c>
      <c r="F11" s="6" t="s">
        <v>80</v>
      </c>
      <c r="G11" s="20">
        <v>65000</v>
      </c>
      <c r="I11" s="6" t="s">
        <v>122</v>
      </c>
    </row>
    <row r="12" spans="1:9" x14ac:dyDescent="0.2">
      <c r="A12" s="6" t="s">
        <v>81</v>
      </c>
      <c r="B12" s="6" t="s">
        <v>82</v>
      </c>
      <c r="C12" s="6" t="s">
        <v>31</v>
      </c>
      <c r="D12" s="6" t="s">
        <v>47</v>
      </c>
      <c r="E12" s="6" t="s">
        <v>83</v>
      </c>
      <c r="F12" s="6" t="s">
        <v>49</v>
      </c>
      <c r="G12" s="20">
        <v>3200</v>
      </c>
      <c r="I12" s="6" t="s">
        <v>55</v>
      </c>
    </row>
    <row r="13" spans="1:9" x14ac:dyDescent="0.2">
      <c r="A13" s="6" t="s">
        <v>84</v>
      </c>
      <c r="B13" s="6" t="s">
        <v>85</v>
      </c>
      <c r="C13" s="6" t="s">
        <v>86</v>
      </c>
      <c r="D13" s="6" t="s">
        <v>87</v>
      </c>
      <c r="E13" s="6" t="s">
        <v>88</v>
      </c>
      <c r="F13" s="6" t="s">
        <v>10</v>
      </c>
      <c r="G13" s="20">
        <v>480100</v>
      </c>
      <c r="I13" s="6" t="s">
        <v>149</v>
      </c>
    </row>
    <row r="14" spans="1:9" x14ac:dyDescent="0.2">
      <c r="A14" s="6" t="s">
        <v>89</v>
      </c>
      <c r="B14" s="6" t="s">
        <v>90</v>
      </c>
      <c r="C14" s="6" t="s">
        <v>62</v>
      </c>
      <c r="D14" s="6" t="s">
        <v>39</v>
      </c>
      <c r="E14" s="6" t="s">
        <v>91</v>
      </c>
      <c r="F14" s="6" t="s">
        <v>41</v>
      </c>
      <c r="G14" s="20">
        <v>48000</v>
      </c>
      <c r="I14" s="6" t="s">
        <v>18</v>
      </c>
    </row>
    <row r="15" spans="1:9" x14ac:dyDescent="0.2">
      <c r="A15" s="6" t="s">
        <v>92</v>
      </c>
      <c r="B15" s="6" t="s">
        <v>93</v>
      </c>
      <c r="C15" s="6" t="s">
        <v>38</v>
      </c>
      <c r="D15" s="6" t="s">
        <v>94</v>
      </c>
      <c r="E15" s="6" t="s">
        <v>95</v>
      </c>
      <c r="F15" s="6" t="s">
        <v>96</v>
      </c>
      <c r="G15" s="20">
        <v>680000</v>
      </c>
      <c r="I15" s="6" t="s">
        <v>170</v>
      </c>
    </row>
    <row r="16" spans="1:9" x14ac:dyDescent="0.2">
      <c r="A16" s="6" t="s">
        <v>97</v>
      </c>
      <c r="B16" s="6" t="s">
        <v>98</v>
      </c>
      <c r="C16" s="6" t="s">
        <v>99</v>
      </c>
      <c r="D16" s="6" t="s">
        <v>100</v>
      </c>
      <c r="E16" s="6" t="s">
        <v>101</v>
      </c>
      <c r="F16" s="6" t="s">
        <v>102</v>
      </c>
      <c r="G16" s="20">
        <v>1200000</v>
      </c>
      <c r="I16" s="6" t="s">
        <v>175</v>
      </c>
    </row>
    <row r="17" spans="1:9" x14ac:dyDescent="0.2">
      <c r="A17" s="6" t="s">
        <v>103</v>
      </c>
      <c r="B17" s="6" t="s">
        <v>104</v>
      </c>
      <c r="C17" s="6" t="s">
        <v>31</v>
      </c>
      <c r="D17" s="6" t="s">
        <v>47</v>
      </c>
      <c r="E17" s="6" t="s">
        <v>105</v>
      </c>
      <c r="F17" s="6" t="s">
        <v>49</v>
      </c>
      <c r="G17" s="20">
        <v>13000</v>
      </c>
      <c r="I17" s="6" t="s">
        <v>191</v>
      </c>
    </row>
    <row r="18" spans="1:9" x14ac:dyDescent="0.2">
      <c r="A18" s="6" t="s">
        <v>357</v>
      </c>
      <c r="B18" s="6" t="s">
        <v>358</v>
      </c>
      <c r="C18" s="6" t="s">
        <v>31</v>
      </c>
      <c r="D18" s="6" t="s">
        <v>359</v>
      </c>
      <c r="E18" s="6" t="s">
        <v>360</v>
      </c>
      <c r="F18" s="6" t="s">
        <v>35</v>
      </c>
      <c r="G18" s="20">
        <v>7000</v>
      </c>
      <c r="I18" s="6" t="s">
        <v>243</v>
      </c>
    </row>
    <row r="19" spans="1:9" x14ac:dyDescent="0.2">
      <c r="A19" s="6" t="s">
        <v>106</v>
      </c>
      <c r="B19" s="6" t="s">
        <v>107</v>
      </c>
      <c r="C19" s="6" t="s">
        <v>52</v>
      </c>
      <c r="D19" s="6" t="s">
        <v>108</v>
      </c>
      <c r="E19" s="6" t="s">
        <v>109</v>
      </c>
      <c r="F19" s="6" t="s">
        <v>35</v>
      </c>
      <c r="G19" s="20">
        <v>150000</v>
      </c>
      <c r="I19" s="6" t="s">
        <v>303</v>
      </c>
    </row>
    <row r="20" spans="1:9" x14ac:dyDescent="0.2">
      <c r="A20" s="6" t="s">
        <v>110</v>
      </c>
      <c r="B20" s="6" t="s">
        <v>111</v>
      </c>
      <c r="C20" s="6" t="s">
        <v>38</v>
      </c>
      <c r="D20" s="6" t="s">
        <v>112</v>
      </c>
      <c r="E20" s="6" t="s">
        <v>113</v>
      </c>
      <c r="F20" s="6" t="s">
        <v>65</v>
      </c>
      <c r="G20" s="20">
        <v>48000</v>
      </c>
      <c r="I20" s="6" t="s">
        <v>314</v>
      </c>
    </row>
    <row r="21" spans="1:9" x14ac:dyDescent="0.2">
      <c r="A21" s="6" t="s">
        <v>117</v>
      </c>
      <c r="B21" s="6" t="s">
        <v>118</v>
      </c>
      <c r="C21" s="6" t="s">
        <v>119</v>
      </c>
      <c r="D21" s="6" t="s">
        <v>120</v>
      </c>
      <c r="E21" s="6" t="s">
        <v>121</v>
      </c>
      <c r="F21" s="6" t="s">
        <v>122</v>
      </c>
      <c r="G21" s="20">
        <v>654000</v>
      </c>
      <c r="I21" s="6" t="s">
        <v>365</v>
      </c>
    </row>
    <row r="22" spans="1:9" x14ac:dyDescent="0.2">
      <c r="A22" s="6" t="s">
        <v>123</v>
      </c>
      <c r="B22" s="6" t="s">
        <v>124</v>
      </c>
      <c r="C22" s="6" t="s">
        <v>125</v>
      </c>
      <c r="D22" s="6" t="s">
        <v>100</v>
      </c>
      <c r="E22" s="6" t="s">
        <v>126</v>
      </c>
      <c r="F22" s="6" t="s">
        <v>102</v>
      </c>
      <c r="G22" s="20">
        <v>23000</v>
      </c>
      <c r="I22" s="6" t="s">
        <v>383</v>
      </c>
    </row>
    <row r="23" spans="1:9" ht="25.5" x14ac:dyDescent="0.2">
      <c r="A23" s="6" t="s">
        <v>127</v>
      </c>
      <c r="B23" s="6" t="s">
        <v>128</v>
      </c>
      <c r="C23" s="6" t="s">
        <v>77</v>
      </c>
      <c r="D23" s="6" t="s">
        <v>68</v>
      </c>
      <c r="E23" s="6" t="s">
        <v>129</v>
      </c>
      <c r="F23" s="6" t="s">
        <v>70</v>
      </c>
      <c r="G23" s="20">
        <v>123000</v>
      </c>
    </row>
    <row r="24" spans="1:9" x14ac:dyDescent="0.2">
      <c r="A24" s="6" t="s">
        <v>130</v>
      </c>
      <c r="B24" s="6" t="s">
        <v>131</v>
      </c>
      <c r="C24" s="6" t="s">
        <v>132</v>
      </c>
      <c r="D24" s="6" t="s">
        <v>133</v>
      </c>
      <c r="E24" s="6" t="s">
        <v>134</v>
      </c>
      <c r="F24" s="6" t="s">
        <v>65</v>
      </c>
      <c r="G24" s="20">
        <v>3200</v>
      </c>
    </row>
    <row r="25" spans="1:9" x14ac:dyDescent="0.2">
      <c r="A25" s="6" t="s">
        <v>135</v>
      </c>
      <c r="B25" s="6" t="s">
        <v>136</v>
      </c>
      <c r="C25" s="6" t="s">
        <v>38</v>
      </c>
      <c r="D25" s="6" t="s">
        <v>137</v>
      </c>
      <c r="E25" s="6" t="s">
        <v>138</v>
      </c>
      <c r="F25" s="6" t="s">
        <v>55</v>
      </c>
      <c r="G25" s="20">
        <v>35000</v>
      </c>
    </row>
    <row r="26" spans="1:9" x14ac:dyDescent="0.2">
      <c r="A26" s="6" t="s">
        <v>143</v>
      </c>
      <c r="B26" s="6" t="s">
        <v>144</v>
      </c>
      <c r="C26" s="6" t="s">
        <v>62</v>
      </c>
      <c r="D26" s="6" t="s">
        <v>112</v>
      </c>
      <c r="E26" s="6" t="s">
        <v>113</v>
      </c>
      <c r="F26" s="6" t="s">
        <v>65</v>
      </c>
      <c r="G26" s="20">
        <v>98000</v>
      </c>
    </row>
    <row r="27" spans="1:9" x14ac:dyDescent="0.2">
      <c r="A27" s="6" t="s">
        <v>145</v>
      </c>
      <c r="B27" s="6" t="s">
        <v>146</v>
      </c>
      <c r="C27" s="6" t="s">
        <v>31</v>
      </c>
      <c r="D27" s="6" t="s">
        <v>147</v>
      </c>
      <c r="E27" s="6" t="s">
        <v>148</v>
      </c>
      <c r="F27" s="6" t="s">
        <v>149</v>
      </c>
      <c r="G27" s="20">
        <v>45000</v>
      </c>
    </row>
    <row r="28" spans="1:9" x14ac:dyDescent="0.2">
      <c r="A28" s="6" t="s">
        <v>139</v>
      </c>
      <c r="B28" s="6" t="s">
        <v>140</v>
      </c>
      <c r="C28" s="6" t="s">
        <v>62</v>
      </c>
      <c r="D28" s="6" t="s">
        <v>141</v>
      </c>
      <c r="E28" s="6" t="s">
        <v>142</v>
      </c>
      <c r="F28" s="6" t="s">
        <v>35</v>
      </c>
      <c r="G28" s="20">
        <v>48000</v>
      </c>
    </row>
    <row r="29" spans="1:9" ht="25.5" x14ac:dyDescent="0.2">
      <c r="A29" s="6" t="s">
        <v>150</v>
      </c>
      <c r="B29" s="6" t="s">
        <v>151</v>
      </c>
      <c r="C29" s="6" t="s">
        <v>119</v>
      </c>
      <c r="D29" s="6" t="s">
        <v>152</v>
      </c>
      <c r="E29" s="6" t="s">
        <v>153</v>
      </c>
      <c r="F29" s="6" t="s">
        <v>18</v>
      </c>
      <c r="G29" s="20">
        <v>35000</v>
      </c>
    </row>
    <row r="30" spans="1:9" x14ac:dyDescent="0.2">
      <c r="A30" s="6" t="s">
        <v>154</v>
      </c>
      <c r="B30" s="6" t="s">
        <v>155</v>
      </c>
      <c r="C30" s="6" t="s">
        <v>62</v>
      </c>
      <c r="D30" s="6" t="s">
        <v>156</v>
      </c>
      <c r="E30" s="6" t="s">
        <v>157</v>
      </c>
      <c r="F30" s="6" t="s">
        <v>70</v>
      </c>
      <c r="G30" s="20">
        <v>59000</v>
      </c>
    </row>
    <row r="31" spans="1:9" x14ac:dyDescent="0.2">
      <c r="A31" s="6" t="s">
        <v>158</v>
      </c>
      <c r="B31" s="6" t="s">
        <v>159</v>
      </c>
      <c r="C31" s="6" t="s">
        <v>119</v>
      </c>
      <c r="D31" s="6" t="s">
        <v>160</v>
      </c>
      <c r="E31" s="6" t="s">
        <v>161</v>
      </c>
      <c r="F31" s="6" t="s">
        <v>70</v>
      </c>
      <c r="G31" s="20">
        <v>32000</v>
      </c>
    </row>
    <row r="32" spans="1:9" x14ac:dyDescent="0.2">
      <c r="A32" s="6" t="s">
        <v>162</v>
      </c>
      <c r="B32" s="6" t="s">
        <v>163</v>
      </c>
      <c r="C32" s="6" t="s">
        <v>99</v>
      </c>
      <c r="D32" s="6" t="s">
        <v>164</v>
      </c>
      <c r="E32" s="6" t="s">
        <v>165</v>
      </c>
      <c r="F32" s="6" t="s">
        <v>102</v>
      </c>
      <c r="G32" s="20">
        <v>48000</v>
      </c>
    </row>
    <row r="33" spans="1:7" x14ac:dyDescent="0.2">
      <c r="A33" s="6" t="s">
        <v>166</v>
      </c>
      <c r="B33" s="6" t="s">
        <v>167</v>
      </c>
      <c r="C33" s="6" t="s">
        <v>62</v>
      </c>
      <c r="D33" s="6" t="s">
        <v>168</v>
      </c>
      <c r="E33" s="6" t="s">
        <v>169</v>
      </c>
      <c r="F33" s="6" t="s">
        <v>170</v>
      </c>
      <c r="G33" s="20">
        <v>9870</v>
      </c>
    </row>
    <row r="34" spans="1:7" x14ac:dyDescent="0.2">
      <c r="A34" s="6" t="s">
        <v>180</v>
      </c>
      <c r="B34" s="6" t="s">
        <v>181</v>
      </c>
      <c r="C34" s="6" t="s">
        <v>31</v>
      </c>
      <c r="D34" s="6" t="s">
        <v>182</v>
      </c>
      <c r="E34" s="6" t="s">
        <v>183</v>
      </c>
      <c r="F34" s="6" t="s">
        <v>175</v>
      </c>
      <c r="G34" s="20">
        <v>35000</v>
      </c>
    </row>
    <row r="35" spans="1:7" x14ac:dyDescent="0.2">
      <c r="A35" s="6" t="s">
        <v>184</v>
      </c>
      <c r="B35" s="6" t="s">
        <v>185</v>
      </c>
      <c r="C35" s="6" t="s">
        <v>31</v>
      </c>
      <c r="D35" s="6" t="s">
        <v>186</v>
      </c>
      <c r="E35" s="6" t="s">
        <v>187</v>
      </c>
      <c r="F35" s="6" t="s">
        <v>170</v>
      </c>
      <c r="G35" s="20">
        <v>5900</v>
      </c>
    </row>
    <row r="36" spans="1:7" x14ac:dyDescent="0.2">
      <c r="A36" s="6" t="s">
        <v>188</v>
      </c>
      <c r="B36" s="6" t="s">
        <v>189</v>
      </c>
      <c r="C36" s="6" t="s">
        <v>99</v>
      </c>
      <c r="D36" s="6" t="s">
        <v>190</v>
      </c>
      <c r="E36" s="6" t="s">
        <v>33</v>
      </c>
      <c r="F36" s="6" t="s">
        <v>191</v>
      </c>
      <c r="G36" s="20">
        <v>987100</v>
      </c>
    </row>
    <row r="37" spans="1:7" x14ac:dyDescent="0.2">
      <c r="A37" s="6" t="s">
        <v>192</v>
      </c>
      <c r="B37" s="6" t="s">
        <v>193</v>
      </c>
      <c r="C37" s="6" t="s">
        <v>62</v>
      </c>
      <c r="D37" s="6" t="s">
        <v>194</v>
      </c>
      <c r="E37" s="6" t="s">
        <v>195</v>
      </c>
      <c r="F37" s="6" t="s">
        <v>49</v>
      </c>
      <c r="G37" s="20">
        <v>32100</v>
      </c>
    </row>
    <row r="38" spans="1:7" x14ac:dyDescent="0.2">
      <c r="A38" s="6" t="s">
        <v>196</v>
      </c>
      <c r="B38" s="6" t="s">
        <v>197</v>
      </c>
      <c r="C38" s="6" t="s">
        <v>99</v>
      </c>
      <c r="D38" s="6" t="s">
        <v>198</v>
      </c>
      <c r="E38" s="6" t="s">
        <v>199</v>
      </c>
      <c r="F38" s="6" t="s">
        <v>35</v>
      </c>
      <c r="G38" s="20">
        <v>45000</v>
      </c>
    </row>
    <row r="39" spans="1:7" x14ac:dyDescent="0.2">
      <c r="A39" s="6" t="s">
        <v>200</v>
      </c>
      <c r="B39" s="6" t="s">
        <v>201</v>
      </c>
      <c r="C39" s="6" t="s">
        <v>31</v>
      </c>
      <c r="D39" s="6" t="s">
        <v>202</v>
      </c>
      <c r="E39" s="6" t="s">
        <v>203</v>
      </c>
      <c r="F39" s="6" t="s">
        <v>65</v>
      </c>
      <c r="G39" s="20">
        <v>65800</v>
      </c>
    </row>
    <row r="40" spans="1:7" x14ac:dyDescent="0.2">
      <c r="A40" s="6" t="s">
        <v>204</v>
      </c>
      <c r="B40" s="6" t="s">
        <v>205</v>
      </c>
      <c r="C40" s="6" t="s">
        <v>119</v>
      </c>
      <c r="D40" s="6" t="s">
        <v>206</v>
      </c>
      <c r="E40" s="6" t="s">
        <v>207</v>
      </c>
      <c r="F40" s="6" t="s">
        <v>65</v>
      </c>
      <c r="G40" s="20">
        <v>6500</v>
      </c>
    </row>
    <row r="41" spans="1:7" ht="25.5" x14ac:dyDescent="0.2">
      <c r="A41" s="6" t="s">
        <v>208</v>
      </c>
      <c r="B41" s="6" t="s">
        <v>209</v>
      </c>
      <c r="C41" s="6" t="s">
        <v>125</v>
      </c>
      <c r="D41" s="6" t="s">
        <v>210</v>
      </c>
      <c r="E41" s="6" t="s">
        <v>211</v>
      </c>
      <c r="F41" s="6" t="s">
        <v>80</v>
      </c>
      <c r="G41" s="20">
        <v>32000</v>
      </c>
    </row>
    <row r="42" spans="1:7" x14ac:dyDescent="0.2">
      <c r="A42" s="6" t="s">
        <v>212</v>
      </c>
      <c r="B42" s="6" t="s">
        <v>213</v>
      </c>
      <c r="C42" s="6" t="s">
        <v>62</v>
      </c>
      <c r="D42" s="6" t="s">
        <v>372</v>
      </c>
      <c r="E42" s="6" t="s">
        <v>214</v>
      </c>
      <c r="F42" s="6" t="s">
        <v>170</v>
      </c>
      <c r="G42" s="20">
        <v>89000</v>
      </c>
    </row>
    <row r="43" spans="1:7" x14ac:dyDescent="0.2">
      <c r="A43" s="6" t="s">
        <v>215</v>
      </c>
      <c r="B43" s="6" t="s">
        <v>216</v>
      </c>
      <c r="C43" s="6" t="s">
        <v>31</v>
      </c>
      <c r="D43" s="6" t="s">
        <v>217</v>
      </c>
      <c r="E43" s="6" t="s">
        <v>218</v>
      </c>
      <c r="F43" s="6" t="s">
        <v>35</v>
      </c>
      <c r="G43" s="20">
        <v>7800</v>
      </c>
    </row>
    <row r="44" spans="1:7" x14ac:dyDescent="0.2">
      <c r="A44" s="6" t="s">
        <v>219</v>
      </c>
      <c r="B44" s="6" t="s">
        <v>220</v>
      </c>
      <c r="C44" s="6" t="s">
        <v>38</v>
      </c>
      <c r="D44" s="6" t="s">
        <v>221</v>
      </c>
      <c r="E44" s="6" t="s">
        <v>222</v>
      </c>
      <c r="F44" s="6" t="s">
        <v>170</v>
      </c>
      <c r="G44" s="20">
        <v>65000</v>
      </c>
    </row>
    <row r="45" spans="1:7" x14ac:dyDescent="0.2">
      <c r="A45" s="6" t="s">
        <v>223</v>
      </c>
      <c r="B45" s="6" t="s">
        <v>224</v>
      </c>
      <c r="C45" s="6" t="s">
        <v>77</v>
      </c>
      <c r="D45" s="6" t="s">
        <v>225</v>
      </c>
      <c r="E45" s="6" t="s">
        <v>226</v>
      </c>
      <c r="F45" s="6" t="s">
        <v>175</v>
      </c>
      <c r="G45" s="20">
        <v>6500</v>
      </c>
    </row>
    <row r="46" spans="1:7" x14ac:dyDescent="0.2">
      <c r="A46" s="6" t="s">
        <v>231</v>
      </c>
      <c r="B46" s="6" t="s">
        <v>232</v>
      </c>
      <c r="C46" s="6" t="s">
        <v>119</v>
      </c>
      <c r="D46" s="6" t="s">
        <v>233</v>
      </c>
      <c r="E46" s="6" t="s">
        <v>234</v>
      </c>
      <c r="F46" s="6" t="s">
        <v>170</v>
      </c>
      <c r="G46" s="20">
        <v>1500</v>
      </c>
    </row>
    <row r="47" spans="1:7" x14ac:dyDescent="0.2">
      <c r="A47" s="6" t="s">
        <v>235</v>
      </c>
      <c r="B47" s="6" t="s">
        <v>236</v>
      </c>
      <c r="C47" s="6" t="s">
        <v>62</v>
      </c>
      <c r="D47" s="6" t="s">
        <v>237</v>
      </c>
      <c r="E47" s="6" t="s">
        <v>238</v>
      </c>
      <c r="F47" s="6" t="s">
        <v>149</v>
      </c>
      <c r="G47" s="20">
        <v>65400</v>
      </c>
    </row>
    <row r="48" spans="1:7" x14ac:dyDescent="0.2">
      <c r="A48" s="6" t="s">
        <v>239</v>
      </c>
      <c r="B48" s="6" t="s">
        <v>240</v>
      </c>
      <c r="C48" s="6" t="s">
        <v>86</v>
      </c>
      <c r="D48" s="6" t="s">
        <v>241</v>
      </c>
      <c r="E48" s="6" t="s">
        <v>242</v>
      </c>
      <c r="F48" s="6" t="s">
        <v>243</v>
      </c>
      <c r="G48" s="20">
        <v>89000</v>
      </c>
    </row>
    <row r="49" spans="1:7" x14ac:dyDescent="0.2">
      <c r="A49" s="6" t="s">
        <v>244</v>
      </c>
      <c r="B49" s="6" t="s">
        <v>245</v>
      </c>
      <c r="C49" s="6" t="s">
        <v>125</v>
      </c>
      <c r="D49" s="6" t="s">
        <v>246</v>
      </c>
      <c r="E49" s="6" t="s">
        <v>247</v>
      </c>
      <c r="F49" s="6" t="s">
        <v>80</v>
      </c>
      <c r="G49" s="20">
        <v>78900</v>
      </c>
    </row>
    <row r="50" spans="1:7" x14ac:dyDescent="0.2">
      <c r="A50" s="6" t="s">
        <v>248</v>
      </c>
      <c r="B50" s="6" t="s">
        <v>249</v>
      </c>
      <c r="C50" s="6" t="s">
        <v>125</v>
      </c>
      <c r="D50" s="6" t="s">
        <v>250</v>
      </c>
      <c r="E50" s="6" t="s">
        <v>251</v>
      </c>
      <c r="F50" s="6" t="s">
        <v>35</v>
      </c>
      <c r="G50" s="20">
        <v>2300</v>
      </c>
    </row>
    <row r="51" spans="1:7" x14ac:dyDescent="0.2">
      <c r="A51" s="6" t="s">
        <v>252</v>
      </c>
      <c r="B51" s="6" t="s">
        <v>253</v>
      </c>
      <c r="C51" s="6" t="s">
        <v>99</v>
      </c>
      <c r="D51" s="6" t="s">
        <v>47</v>
      </c>
      <c r="E51" s="6" t="s">
        <v>254</v>
      </c>
      <c r="F51" s="6" t="s">
        <v>49</v>
      </c>
      <c r="G51" s="20">
        <v>2600</v>
      </c>
    </row>
    <row r="52" spans="1:7" x14ac:dyDescent="0.2">
      <c r="A52" s="6" t="s">
        <v>255</v>
      </c>
      <c r="B52" s="6" t="s">
        <v>256</v>
      </c>
      <c r="C52" s="6" t="s">
        <v>86</v>
      </c>
      <c r="D52" s="6" t="s">
        <v>87</v>
      </c>
      <c r="E52" s="6" t="s">
        <v>88</v>
      </c>
      <c r="F52" s="6" t="s">
        <v>10</v>
      </c>
      <c r="G52" s="20">
        <v>4500</v>
      </c>
    </row>
    <row r="53" spans="1:7" x14ac:dyDescent="0.2">
      <c r="A53" s="6" t="s">
        <v>258</v>
      </c>
      <c r="B53" s="6" t="s">
        <v>259</v>
      </c>
      <c r="C53" s="6" t="s">
        <v>31</v>
      </c>
      <c r="D53" s="6" t="s">
        <v>39</v>
      </c>
      <c r="E53" s="6" t="s">
        <v>260</v>
      </c>
      <c r="F53" s="6" t="s">
        <v>41</v>
      </c>
      <c r="G53" s="20">
        <v>9800</v>
      </c>
    </row>
    <row r="54" spans="1:7" x14ac:dyDescent="0.2">
      <c r="A54" s="6" t="s">
        <v>261</v>
      </c>
      <c r="B54" s="6" t="s">
        <v>262</v>
      </c>
      <c r="C54" s="6" t="s">
        <v>119</v>
      </c>
      <c r="D54" s="6" t="s">
        <v>263</v>
      </c>
      <c r="E54" s="6" t="s">
        <v>264</v>
      </c>
      <c r="F54" s="6" t="s">
        <v>122</v>
      </c>
      <c r="G54" s="20">
        <v>2300</v>
      </c>
    </row>
    <row r="55" spans="1:7" x14ac:dyDescent="0.2">
      <c r="A55" s="6" t="s">
        <v>265</v>
      </c>
      <c r="B55" s="6" t="s">
        <v>266</v>
      </c>
      <c r="C55" s="6" t="s">
        <v>31</v>
      </c>
      <c r="D55" s="6" t="s">
        <v>152</v>
      </c>
      <c r="E55" s="6" t="s">
        <v>267</v>
      </c>
      <c r="F55" s="6" t="s">
        <v>18</v>
      </c>
      <c r="G55" s="20">
        <v>1500</v>
      </c>
    </row>
    <row r="56" spans="1:7" x14ac:dyDescent="0.2">
      <c r="A56" s="6" t="s">
        <v>268</v>
      </c>
      <c r="B56" s="6" t="s">
        <v>269</v>
      </c>
      <c r="C56" s="6" t="s">
        <v>77</v>
      </c>
      <c r="D56" s="6" t="s">
        <v>178</v>
      </c>
      <c r="E56" s="6" t="s">
        <v>270</v>
      </c>
      <c r="F56" s="6" t="s">
        <v>102</v>
      </c>
      <c r="G56" s="20">
        <v>4800</v>
      </c>
    </row>
    <row r="57" spans="1:7" x14ac:dyDescent="0.2">
      <c r="A57" s="6" t="s">
        <v>271</v>
      </c>
      <c r="B57" s="6" t="s">
        <v>272</v>
      </c>
      <c r="C57" s="6" t="s">
        <v>125</v>
      </c>
      <c r="D57" s="6" t="s">
        <v>100</v>
      </c>
      <c r="E57" s="6" t="s">
        <v>273</v>
      </c>
      <c r="F57" s="6" t="s">
        <v>102</v>
      </c>
      <c r="G57" s="20">
        <v>98000</v>
      </c>
    </row>
    <row r="58" spans="1:7" x14ac:dyDescent="0.2">
      <c r="A58" s="6" t="s">
        <v>274</v>
      </c>
      <c r="B58" s="6" t="s">
        <v>275</v>
      </c>
      <c r="C58" s="6" t="s">
        <v>77</v>
      </c>
      <c r="D58" s="6" t="s">
        <v>276</v>
      </c>
      <c r="E58" s="6" t="s">
        <v>277</v>
      </c>
      <c r="F58" s="6" t="s">
        <v>35</v>
      </c>
      <c r="G58" s="20">
        <v>32000</v>
      </c>
    </row>
    <row r="59" spans="1:7" x14ac:dyDescent="0.2">
      <c r="A59" s="6" t="s">
        <v>278</v>
      </c>
      <c r="B59" s="6" t="s">
        <v>279</v>
      </c>
      <c r="C59" s="6" t="s">
        <v>31</v>
      </c>
      <c r="D59" s="6" t="s">
        <v>87</v>
      </c>
      <c r="E59" s="6" t="s">
        <v>88</v>
      </c>
      <c r="F59" s="6" t="s">
        <v>10</v>
      </c>
      <c r="G59" s="20">
        <v>1500</v>
      </c>
    </row>
    <row r="60" spans="1:7" ht="25.5" x14ac:dyDescent="0.2">
      <c r="A60" s="6" t="s">
        <v>280</v>
      </c>
      <c r="B60" s="6" t="s">
        <v>281</v>
      </c>
      <c r="C60" s="6" t="s">
        <v>282</v>
      </c>
      <c r="D60" s="6" t="s">
        <v>283</v>
      </c>
      <c r="E60" s="6" t="s">
        <v>284</v>
      </c>
      <c r="F60" s="6" t="s">
        <v>170</v>
      </c>
      <c r="G60" s="20">
        <v>871110</v>
      </c>
    </row>
    <row r="61" spans="1:7" x14ac:dyDescent="0.2">
      <c r="A61" s="6" t="s">
        <v>285</v>
      </c>
      <c r="B61" s="6" t="s">
        <v>286</v>
      </c>
      <c r="C61" s="6" t="s">
        <v>99</v>
      </c>
      <c r="D61" s="6" t="s">
        <v>287</v>
      </c>
      <c r="E61" s="6" t="s">
        <v>288</v>
      </c>
      <c r="F61" s="6" t="s">
        <v>149</v>
      </c>
      <c r="G61" s="20">
        <v>3200</v>
      </c>
    </row>
    <row r="62" spans="1:7" x14ac:dyDescent="0.2">
      <c r="A62" s="6" t="s">
        <v>289</v>
      </c>
      <c r="B62" s="6" t="s">
        <v>290</v>
      </c>
      <c r="C62" s="6" t="s">
        <v>132</v>
      </c>
      <c r="D62" s="6" t="s">
        <v>178</v>
      </c>
      <c r="E62" s="6" t="s">
        <v>291</v>
      </c>
      <c r="F62" s="6" t="s">
        <v>102</v>
      </c>
      <c r="G62" s="20">
        <v>98654</v>
      </c>
    </row>
    <row r="63" spans="1:7" x14ac:dyDescent="0.2">
      <c r="A63" s="6" t="s">
        <v>292</v>
      </c>
      <c r="B63" s="6" t="s">
        <v>293</v>
      </c>
      <c r="C63" s="6" t="s">
        <v>119</v>
      </c>
      <c r="D63" s="6" t="s">
        <v>294</v>
      </c>
      <c r="E63" s="6" t="s">
        <v>295</v>
      </c>
      <c r="F63" s="6" t="s">
        <v>96</v>
      </c>
      <c r="G63" s="20">
        <v>45665</v>
      </c>
    </row>
    <row r="64" spans="1:7" x14ac:dyDescent="0.2">
      <c r="A64" s="6" t="s">
        <v>296</v>
      </c>
      <c r="B64" s="6" t="s">
        <v>297</v>
      </c>
      <c r="C64" s="6" t="s">
        <v>77</v>
      </c>
      <c r="D64" s="6" t="s">
        <v>68</v>
      </c>
      <c r="E64" s="6" t="s">
        <v>298</v>
      </c>
      <c r="F64" s="6" t="s">
        <v>70</v>
      </c>
      <c r="G64" s="20">
        <v>32150</v>
      </c>
    </row>
    <row r="65" spans="1:7" x14ac:dyDescent="0.2">
      <c r="A65" s="6" t="s">
        <v>299</v>
      </c>
      <c r="B65" s="6" t="s">
        <v>300</v>
      </c>
      <c r="C65" s="6" t="s">
        <v>38</v>
      </c>
      <c r="D65" s="6" t="s">
        <v>301</v>
      </c>
      <c r="E65" s="6" t="s">
        <v>302</v>
      </c>
      <c r="F65" s="6" t="s">
        <v>303</v>
      </c>
      <c r="G65" s="20">
        <v>6500</v>
      </c>
    </row>
    <row r="66" spans="1:7" x14ac:dyDescent="0.2">
      <c r="A66" s="6" t="s">
        <v>304</v>
      </c>
      <c r="B66" s="6" t="s">
        <v>305</v>
      </c>
      <c r="C66" s="6" t="s">
        <v>31</v>
      </c>
      <c r="D66" s="6" t="s">
        <v>372</v>
      </c>
      <c r="E66" s="6" t="s">
        <v>306</v>
      </c>
      <c r="F66" s="6" t="s">
        <v>170</v>
      </c>
      <c r="G66" s="20">
        <v>9800</v>
      </c>
    </row>
    <row r="67" spans="1:7" x14ac:dyDescent="0.2">
      <c r="A67" s="6" t="s">
        <v>307</v>
      </c>
      <c r="B67" s="6" t="s">
        <v>308</v>
      </c>
      <c r="C67" s="6" t="s">
        <v>119</v>
      </c>
      <c r="D67" s="6" t="s">
        <v>47</v>
      </c>
      <c r="E67" s="6" t="s">
        <v>309</v>
      </c>
      <c r="F67" s="6" t="s">
        <v>49</v>
      </c>
      <c r="G67" s="20">
        <v>7800</v>
      </c>
    </row>
    <row r="68" spans="1:7" x14ac:dyDescent="0.2">
      <c r="A68" s="6" t="s">
        <v>310</v>
      </c>
      <c r="B68" s="6" t="s">
        <v>311</v>
      </c>
      <c r="C68" s="6" t="s">
        <v>38</v>
      </c>
      <c r="D68" s="6" t="s">
        <v>312</v>
      </c>
      <c r="E68" s="6" t="s">
        <v>313</v>
      </c>
      <c r="F68" s="6" t="s">
        <v>314</v>
      </c>
      <c r="G68" s="20">
        <v>9800</v>
      </c>
    </row>
    <row r="69" spans="1:7" x14ac:dyDescent="0.2">
      <c r="A69" s="6" t="s">
        <v>315</v>
      </c>
      <c r="B69" s="6" t="s">
        <v>316</v>
      </c>
      <c r="C69" s="6" t="s">
        <v>62</v>
      </c>
      <c r="D69" s="6" t="s">
        <v>257</v>
      </c>
      <c r="E69" s="6" t="s">
        <v>317</v>
      </c>
      <c r="F69" s="6" t="s">
        <v>65</v>
      </c>
      <c r="G69" s="20">
        <v>65420</v>
      </c>
    </row>
    <row r="70" spans="1:7" x14ac:dyDescent="0.2">
      <c r="A70" s="6" t="s">
        <v>318</v>
      </c>
      <c r="B70" s="6" t="s">
        <v>319</v>
      </c>
      <c r="C70" s="6" t="s">
        <v>119</v>
      </c>
      <c r="D70" s="6" t="s">
        <v>372</v>
      </c>
      <c r="E70" s="6" t="s">
        <v>320</v>
      </c>
      <c r="F70" s="6" t="s">
        <v>170</v>
      </c>
      <c r="G70" s="20">
        <v>32550</v>
      </c>
    </row>
    <row r="71" spans="1:7" x14ac:dyDescent="0.2">
      <c r="A71" s="6" t="s">
        <v>321</v>
      </c>
      <c r="B71" s="6" t="s">
        <v>322</v>
      </c>
      <c r="C71" s="6" t="s">
        <v>77</v>
      </c>
      <c r="D71" s="6" t="s">
        <v>323</v>
      </c>
      <c r="E71" s="6" t="s">
        <v>324</v>
      </c>
      <c r="F71" s="6" t="s">
        <v>243</v>
      </c>
      <c r="G71" s="20">
        <v>3200</v>
      </c>
    </row>
    <row r="72" spans="1:7" x14ac:dyDescent="0.2">
      <c r="A72" s="6" t="s">
        <v>325</v>
      </c>
      <c r="B72" s="6" t="s">
        <v>326</v>
      </c>
      <c r="C72" s="6" t="s">
        <v>62</v>
      </c>
      <c r="D72" s="6" t="s">
        <v>233</v>
      </c>
      <c r="E72" s="6" t="s">
        <v>327</v>
      </c>
      <c r="F72" s="6" t="s">
        <v>170</v>
      </c>
      <c r="G72" s="20">
        <v>6500</v>
      </c>
    </row>
    <row r="73" spans="1:7" x14ac:dyDescent="0.2">
      <c r="A73" s="6" t="s">
        <v>328</v>
      </c>
      <c r="B73" s="6" t="s">
        <v>329</v>
      </c>
      <c r="C73" s="6" t="s">
        <v>125</v>
      </c>
      <c r="D73" s="6" t="s">
        <v>330</v>
      </c>
      <c r="E73" s="6" t="s">
        <v>331</v>
      </c>
      <c r="F73" s="6" t="s">
        <v>170</v>
      </c>
      <c r="G73" s="20">
        <v>4000</v>
      </c>
    </row>
    <row r="74" spans="1:7" x14ac:dyDescent="0.2">
      <c r="A74" s="6" t="s">
        <v>332</v>
      </c>
      <c r="B74" s="6" t="s">
        <v>333</v>
      </c>
      <c r="C74" s="6" t="s">
        <v>62</v>
      </c>
      <c r="D74" s="6" t="s">
        <v>334</v>
      </c>
      <c r="E74" s="6" t="s">
        <v>335</v>
      </c>
      <c r="F74" s="6" t="s">
        <v>35</v>
      </c>
      <c r="G74" s="20">
        <v>9800</v>
      </c>
    </row>
    <row r="75" spans="1:7" x14ac:dyDescent="0.2">
      <c r="A75" s="6" t="s">
        <v>336</v>
      </c>
      <c r="B75" s="6" t="s">
        <v>337</v>
      </c>
      <c r="C75" s="6" t="s">
        <v>38</v>
      </c>
      <c r="D75" s="6" t="s">
        <v>39</v>
      </c>
      <c r="E75" s="6" t="s">
        <v>260</v>
      </c>
      <c r="F75" s="6" t="s">
        <v>41</v>
      </c>
      <c r="G75" s="20">
        <v>4500</v>
      </c>
    </row>
    <row r="76" spans="1:7" x14ac:dyDescent="0.2">
      <c r="A76" s="6" t="s">
        <v>338</v>
      </c>
      <c r="B76" s="6" t="s">
        <v>339</v>
      </c>
      <c r="C76" s="6" t="s">
        <v>31</v>
      </c>
      <c r="D76" s="6" t="s">
        <v>100</v>
      </c>
      <c r="E76" s="6" t="s">
        <v>340</v>
      </c>
      <c r="F76" s="6" t="s">
        <v>102</v>
      </c>
      <c r="G76" s="20">
        <v>87540</v>
      </c>
    </row>
    <row r="77" spans="1:7" ht="25.5" x14ac:dyDescent="0.2">
      <c r="A77" s="6" t="s">
        <v>341</v>
      </c>
      <c r="B77" s="6" t="s">
        <v>342</v>
      </c>
      <c r="C77" s="6" t="s">
        <v>99</v>
      </c>
      <c r="D77" s="6" t="s">
        <v>343</v>
      </c>
      <c r="E77" s="6" t="s">
        <v>344</v>
      </c>
      <c r="F77" s="6" t="s">
        <v>170</v>
      </c>
      <c r="G77" s="20">
        <v>32000</v>
      </c>
    </row>
    <row r="78" spans="1:7" x14ac:dyDescent="0.2">
      <c r="A78" s="6" t="s">
        <v>345</v>
      </c>
      <c r="B78" s="6" t="s">
        <v>346</v>
      </c>
      <c r="C78" s="6" t="s">
        <v>119</v>
      </c>
      <c r="D78" s="6" t="s">
        <v>347</v>
      </c>
      <c r="E78" s="6" t="s">
        <v>348</v>
      </c>
      <c r="F78" s="6" t="s">
        <v>314</v>
      </c>
      <c r="G78" s="20">
        <v>65000</v>
      </c>
    </row>
    <row r="79" spans="1:7" x14ac:dyDescent="0.2">
      <c r="A79" s="6" t="s">
        <v>361</v>
      </c>
      <c r="B79" s="6" t="s">
        <v>362</v>
      </c>
      <c r="C79" s="6" t="s">
        <v>77</v>
      </c>
      <c r="D79" s="6" t="s">
        <v>363</v>
      </c>
      <c r="E79" s="6" t="s">
        <v>364</v>
      </c>
      <c r="F79" s="6" t="s">
        <v>365</v>
      </c>
      <c r="G79" s="20">
        <v>9870</v>
      </c>
    </row>
    <row r="80" spans="1:7" x14ac:dyDescent="0.2">
      <c r="A80" s="6" t="s">
        <v>366</v>
      </c>
      <c r="B80" s="6" t="s">
        <v>367</v>
      </c>
      <c r="C80" s="6" t="s">
        <v>119</v>
      </c>
      <c r="D80" s="6" t="s">
        <v>368</v>
      </c>
      <c r="E80" s="6" t="s">
        <v>369</v>
      </c>
      <c r="F80" s="6" t="s">
        <v>102</v>
      </c>
      <c r="G80" s="20">
        <v>8000</v>
      </c>
    </row>
    <row r="81" spans="1:7" x14ac:dyDescent="0.2">
      <c r="A81" s="6" t="s">
        <v>370</v>
      </c>
      <c r="B81" s="6" t="s">
        <v>371</v>
      </c>
      <c r="C81" s="6" t="s">
        <v>38</v>
      </c>
      <c r="D81" s="6" t="s">
        <v>372</v>
      </c>
      <c r="E81" s="6" t="s">
        <v>373</v>
      </c>
      <c r="F81" s="6" t="s">
        <v>170</v>
      </c>
      <c r="G81" s="20">
        <v>32000</v>
      </c>
    </row>
    <row r="82" spans="1:7" x14ac:dyDescent="0.2">
      <c r="A82" s="6" t="s">
        <v>349</v>
      </c>
      <c r="B82" s="6" t="s">
        <v>350</v>
      </c>
      <c r="C82" s="6" t="s">
        <v>86</v>
      </c>
      <c r="D82" s="6" t="s">
        <v>351</v>
      </c>
      <c r="E82" s="6" t="s">
        <v>352</v>
      </c>
      <c r="F82" s="6" t="s">
        <v>65</v>
      </c>
      <c r="G82" s="20">
        <v>9800</v>
      </c>
    </row>
    <row r="83" spans="1:7" x14ac:dyDescent="0.2">
      <c r="A83" s="6" t="s">
        <v>374</v>
      </c>
      <c r="B83" s="6" t="s">
        <v>375</v>
      </c>
      <c r="C83" s="6" t="s">
        <v>376</v>
      </c>
      <c r="D83" s="6" t="s">
        <v>377</v>
      </c>
      <c r="E83" s="6" t="s">
        <v>378</v>
      </c>
      <c r="F83" s="6" t="s">
        <v>365</v>
      </c>
      <c r="G83" s="20">
        <v>4500</v>
      </c>
    </row>
    <row r="84" spans="1:7" x14ac:dyDescent="0.2">
      <c r="A84" s="6" t="s">
        <v>353</v>
      </c>
      <c r="B84" s="6" t="s">
        <v>354</v>
      </c>
      <c r="C84" s="6" t="s">
        <v>77</v>
      </c>
      <c r="D84" s="6" t="s">
        <v>355</v>
      </c>
      <c r="E84" s="6" t="s">
        <v>356</v>
      </c>
      <c r="F84" s="6" t="s">
        <v>65</v>
      </c>
      <c r="G84" s="20">
        <v>45000</v>
      </c>
    </row>
    <row r="85" spans="1:7" x14ac:dyDescent="0.2">
      <c r="A85" s="6" t="s">
        <v>379</v>
      </c>
      <c r="B85" s="6" t="s">
        <v>380</v>
      </c>
      <c r="C85" s="6" t="s">
        <v>38</v>
      </c>
      <c r="D85" s="6" t="s">
        <v>381</v>
      </c>
      <c r="E85" s="6" t="s">
        <v>382</v>
      </c>
      <c r="F85" s="6" t="s">
        <v>383</v>
      </c>
      <c r="G85" s="20">
        <v>65000</v>
      </c>
    </row>
  </sheetData>
  <phoneticPr fontId="2" type="noConversion"/>
  <dataValidations count="1">
    <dataValidation type="list" allowBlank="1" showInputMessage="1" showErrorMessage="1" errorTitle="Felmeddelande" error="Error 40!_x000a__x000a_Rimg Admin." sqref="F2:F1048576" xr:uid="{00000000-0002-0000-0700-000000000000}">
      <formula1>#REF!</formula1>
    </dataValidation>
  </dataValidations>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9"/>
  <dimension ref="A1:G26"/>
  <sheetViews>
    <sheetView workbookViewId="0">
      <selection activeCell="E24" sqref="E24"/>
    </sheetView>
  </sheetViews>
  <sheetFormatPr defaultColWidth="11.42578125" defaultRowHeight="15" x14ac:dyDescent="0.2"/>
  <cols>
    <col min="1" max="1" width="24.7109375" style="32" bestFit="1" customWidth="1"/>
    <col min="2" max="2" width="15.42578125" style="32" bestFit="1" customWidth="1"/>
    <col min="3" max="3" width="13.140625" style="32" customWidth="1"/>
    <col min="4" max="4" width="15.5703125" style="32" bestFit="1" customWidth="1"/>
    <col min="5" max="5" width="16.7109375" style="32" bestFit="1" customWidth="1"/>
    <col min="6" max="6" width="18.28515625" style="32" bestFit="1" customWidth="1"/>
    <col min="7" max="7" width="14.85546875" style="32" bestFit="1" customWidth="1"/>
    <col min="8" max="16384" width="11.42578125" style="32"/>
  </cols>
  <sheetData>
    <row r="1" spans="1:7" ht="15.75" x14ac:dyDescent="0.25">
      <c r="A1" s="30" t="s">
        <v>1</v>
      </c>
      <c r="B1" s="30" t="s">
        <v>5</v>
      </c>
      <c r="C1" s="31" t="s">
        <v>2</v>
      </c>
      <c r="D1" s="31" t="s">
        <v>3</v>
      </c>
      <c r="E1" s="30" t="s">
        <v>4</v>
      </c>
      <c r="F1" s="1" t="s">
        <v>27</v>
      </c>
      <c r="G1" s="1" t="s">
        <v>436</v>
      </c>
    </row>
    <row r="2" spans="1:7" x14ac:dyDescent="0.2">
      <c r="A2" s="33" t="s">
        <v>8</v>
      </c>
      <c r="B2" s="33" t="s">
        <v>7</v>
      </c>
      <c r="C2" s="34" t="s">
        <v>25</v>
      </c>
      <c r="D2" s="34">
        <v>1997</v>
      </c>
      <c r="E2" s="33">
        <v>35</v>
      </c>
      <c r="F2" s="2">
        <v>86.25</v>
      </c>
      <c r="G2" s="35" t="str">
        <f>IF(E2&gt;10,"Lagret är OK","Fyll på lagret")</f>
        <v>Lagret är OK</v>
      </c>
    </row>
    <row r="3" spans="1:7" x14ac:dyDescent="0.2">
      <c r="A3" s="33" t="s">
        <v>9</v>
      </c>
      <c r="B3" s="33" t="s">
        <v>10</v>
      </c>
      <c r="C3" s="34" t="s">
        <v>25</v>
      </c>
      <c r="D3" s="34">
        <v>1996</v>
      </c>
      <c r="E3" s="33">
        <v>40</v>
      </c>
      <c r="F3" s="2">
        <v>75</v>
      </c>
      <c r="G3" s="35" t="str">
        <f t="shared" ref="G3:G12" si="0">IF(E3&gt;10,"Lagret är OK","Fyll på lagret")</f>
        <v>Lagret är OK</v>
      </c>
    </row>
    <row r="4" spans="1:7" x14ac:dyDescent="0.2">
      <c r="A4" s="33" t="s">
        <v>6</v>
      </c>
      <c r="B4" s="33" t="s">
        <v>7</v>
      </c>
      <c r="C4" s="34" t="s">
        <v>25</v>
      </c>
      <c r="D4" s="34">
        <v>1997</v>
      </c>
      <c r="E4" s="33">
        <v>5</v>
      </c>
      <c r="F4" s="2">
        <v>65.45</v>
      </c>
      <c r="G4" s="35" t="str">
        <f t="shared" si="0"/>
        <v>Fyll på lagret</v>
      </c>
    </row>
    <row r="5" spans="1:7" x14ac:dyDescent="0.2">
      <c r="A5" s="33" t="s">
        <v>11</v>
      </c>
      <c r="B5" s="33" t="s">
        <v>12</v>
      </c>
      <c r="C5" s="34" t="s">
        <v>26</v>
      </c>
      <c r="D5" s="34">
        <v>1995</v>
      </c>
      <c r="E5" s="33">
        <v>10</v>
      </c>
      <c r="F5" s="2">
        <v>73.8</v>
      </c>
      <c r="G5" s="35" t="str">
        <f t="shared" si="0"/>
        <v>Fyll på lagret</v>
      </c>
    </row>
    <row r="6" spans="1:7" x14ac:dyDescent="0.2">
      <c r="A6" s="33" t="s">
        <v>13</v>
      </c>
      <c r="B6" s="33" t="s">
        <v>14</v>
      </c>
      <c r="C6" s="34" t="s">
        <v>26</v>
      </c>
      <c r="D6" s="34">
        <v>1992</v>
      </c>
      <c r="E6" s="33">
        <v>8</v>
      </c>
      <c r="F6" s="2">
        <v>90</v>
      </c>
      <c r="G6" s="35" t="str">
        <f t="shared" si="0"/>
        <v>Fyll på lagret</v>
      </c>
    </row>
    <row r="7" spans="1:7" x14ac:dyDescent="0.2">
      <c r="A7" s="33" t="s">
        <v>15</v>
      </c>
      <c r="B7" s="33" t="s">
        <v>14</v>
      </c>
      <c r="C7" s="34" t="s">
        <v>26</v>
      </c>
      <c r="D7" s="34">
        <v>1996</v>
      </c>
      <c r="E7" s="33">
        <v>25</v>
      </c>
      <c r="F7" s="2">
        <v>74</v>
      </c>
      <c r="G7" s="35" t="str">
        <f t="shared" si="0"/>
        <v>Lagret är OK</v>
      </c>
    </row>
    <row r="8" spans="1:7" x14ac:dyDescent="0.2">
      <c r="A8" s="33" t="s">
        <v>16</v>
      </c>
      <c r="B8" s="33" t="s">
        <v>12</v>
      </c>
      <c r="C8" s="34" t="s">
        <v>26</v>
      </c>
      <c r="D8" s="34">
        <v>1998</v>
      </c>
      <c r="E8" s="33">
        <v>7</v>
      </c>
      <c r="F8" s="2">
        <v>49</v>
      </c>
      <c r="G8" s="35" t="str">
        <f t="shared" si="0"/>
        <v>Fyll på lagret</v>
      </c>
    </row>
    <row r="9" spans="1:7" x14ac:dyDescent="0.2">
      <c r="A9" s="33" t="s">
        <v>17</v>
      </c>
      <c r="B9" s="33" t="s">
        <v>18</v>
      </c>
      <c r="C9" s="34" t="s">
        <v>25</v>
      </c>
      <c r="D9" s="34">
        <v>1988</v>
      </c>
      <c r="E9" s="33">
        <v>98</v>
      </c>
      <c r="F9" s="2">
        <v>156</v>
      </c>
      <c r="G9" s="35" t="str">
        <f t="shared" si="0"/>
        <v>Lagret är OK</v>
      </c>
    </row>
    <row r="10" spans="1:7" x14ac:dyDescent="0.2">
      <c r="A10" s="33" t="s">
        <v>19</v>
      </c>
      <c r="B10" s="33" t="s">
        <v>20</v>
      </c>
      <c r="C10" s="34" t="s">
        <v>25</v>
      </c>
      <c r="D10" s="34">
        <v>1999</v>
      </c>
      <c r="E10" s="33">
        <v>2</v>
      </c>
      <c r="F10" s="2">
        <v>62.25</v>
      </c>
      <c r="G10" s="35" t="str">
        <f t="shared" si="0"/>
        <v>Fyll på lagret</v>
      </c>
    </row>
    <row r="11" spans="1:7" x14ac:dyDescent="0.2">
      <c r="A11" s="33" t="s">
        <v>21</v>
      </c>
      <c r="B11" s="33" t="s">
        <v>22</v>
      </c>
      <c r="C11" s="34" t="s">
        <v>26</v>
      </c>
      <c r="D11" s="34">
        <v>1986</v>
      </c>
      <c r="E11" s="33">
        <v>98</v>
      </c>
      <c r="F11" s="2">
        <v>281</v>
      </c>
      <c r="G11" s="35" t="str">
        <f t="shared" si="0"/>
        <v>Lagret är OK</v>
      </c>
    </row>
    <row r="12" spans="1:7" x14ac:dyDescent="0.2">
      <c r="A12" s="33" t="s">
        <v>24</v>
      </c>
      <c r="B12" s="33" t="s">
        <v>23</v>
      </c>
      <c r="C12" s="34" t="s">
        <v>25</v>
      </c>
      <c r="D12" s="34">
        <v>2000</v>
      </c>
      <c r="E12" s="33">
        <v>20</v>
      </c>
      <c r="F12" s="2">
        <v>52</v>
      </c>
      <c r="G12" s="35" t="str">
        <f t="shared" si="0"/>
        <v>Lagret är OK</v>
      </c>
    </row>
    <row r="15" spans="1:7" x14ac:dyDescent="0.2">
      <c r="A15" s="32" t="s">
        <v>437</v>
      </c>
    </row>
    <row r="16" spans="1:7" x14ac:dyDescent="0.2">
      <c r="A16" s="32" t="s">
        <v>438</v>
      </c>
    </row>
    <row r="17" spans="1:7" x14ac:dyDescent="0.2">
      <c r="A17" s="32" t="s">
        <v>439</v>
      </c>
    </row>
    <row r="18" spans="1:7" x14ac:dyDescent="0.2">
      <c r="A18" s="32" t="s">
        <v>440</v>
      </c>
    </row>
    <row r="19" spans="1:7" ht="15.75" thickBot="1" x14ac:dyDescent="0.25"/>
    <row r="20" spans="1:7" ht="15.75" thickBot="1" x14ac:dyDescent="0.25">
      <c r="A20" s="36"/>
      <c r="C20" s="37" t="s">
        <v>441</v>
      </c>
    </row>
    <row r="21" spans="1:7" ht="15.75" thickBot="1" x14ac:dyDescent="0.25">
      <c r="A21" s="38"/>
      <c r="B21" s="38"/>
      <c r="C21" s="38"/>
      <c r="D21" s="38"/>
      <c r="E21" s="38"/>
      <c r="F21" s="38"/>
      <c r="G21" s="38"/>
    </row>
    <row r="23" spans="1:7" x14ac:dyDescent="0.2">
      <c r="A23" s="32" t="s">
        <v>392</v>
      </c>
      <c r="B23" s="19">
        <v>37000</v>
      </c>
      <c r="C23" s="19"/>
      <c r="D23" s="39" t="s">
        <v>442</v>
      </c>
      <c r="E23" s="32">
        <v>52000</v>
      </c>
    </row>
    <row r="24" spans="1:7" x14ac:dyDescent="0.2">
      <c r="A24" s="32" t="s">
        <v>393</v>
      </c>
      <c r="B24" s="40">
        <v>0.3</v>
      </c>
      <c r="C24" s="40"/>
      <c r="D24" s="39" t="s">
        <v>443</v>
      </c>
      <c r="E24" s="32">
        <v>42400</v>
      </c>
    </row>
    <row r="25" spans="1:7" x14ac:dyDescent="0.2">
      <c r="A25" s="32" t="s">
        <v>394</v>
      </c>
      <c r="B25" s="19">
        <f>IF(B23&gt;E23,B23*B24+(B23-E24)*0.2+(B23-E23)*0.05,IF(B23&gt;E24, B23*B24+(B23-E24)*0.2, B23*B24))</f>
        <v>11100</v>
      </c>
    </row>
    <row r="26" spans="1:7" x14ac:dyDescent="0.2">
      <c r="A26" s="32" t="s">
        <v>395</v>
      </c>
      <c r="B26" s="41">
        <f>B23-B25</f>
        <v>25900</v>
      </c>
      <c r="C26" s="41"/>
    </row>
  </sheetData>
  <conditionalFormatting sqref="A20">
    <cfRule type="cellIs" dxfId="2" priority="5" stopIfTrue="1" operator="equal">
      <formula>"Kolla lagersaldo"</formula>
    </cfRule>
  </conditionalFormatting>
  <conditionalFormatting sqref="G2:G12">
    <cfRule type="cellIs" dxfId="1" priority="1" operator="equal">
      <formula>"Fyll på lagret"</formula>
    </cfRule>
    <cfRule type="cellIs" dxfId="0" priority="2" operator="equal">
      <formula>"Lagret är OK"</formula>
    </cfRule>
  </conditionalFormatting>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4"/>
  <dimension ref="A1:L38"/>
  <sheetViews>
    <sheetView topLeftCell="A4" workbookViewId="0">
      <selection activeCell="E21" sqref="E21"/>
    </sheetView>
  </sheetViews>
  <sheetFormatPr defaultRowHeight="15" x14ac:dyDescent="0.2"/>
  <cols>
    <col min="1" max="1" width="19.85546875" style="12" customWidth="1"/>
    <col min="2" max="2" width="14" style="12" customWidth="1"/>
    <col min="3" max="3" width="17" style="16" bestFit="1" customWidth="1"/>
    <col min="4" max="4" width="10.42578125" style="16" customWidth="1"/>
    <col min="5" max="5" width="16.7109375" style="12" bestFit="1" customWidth="1"/>
    <col min="6" max="6" width="17" style="2" bestFit="1" customWidth="1"/>
    <col min="7" max="7" width="9.28515625" style="12" bestFit="1" customWidth="1"/>
    <col min="8" max="8" width="7.85546875" style="12" customWidth="1"/>
    <col min="9" max="9" width="9.140625" style="12"/>
    <col min="10" max="10" width="10.85546875" style="12" bestFit="1" customWidth="1"/>
    <col min="11" max="16384" width="9.140625" style="12"/>
  </cols>
  <sheetData>
    <row r="1" spans="1:12" ht="15.75" x14ac:dyDescent="0.25">
      <c r="A1" s="84" t="s">
        <v>0</v>
      </c>
      <c r="B1" s="84"/>
      <c r="C1" s="84"/>
      <c r="D1" s="84"/>
      <c r="E1" s="84"/>
      <c r="F1" s="84"/>
    </row>
    <row r="2" spans="1:12" ht="15.75" x14ac:dyDescent="0.25">
      <c r="A2" s="11"/>
      <c r="B2" s="11"/>
      <c r="C2" s="11"/>
      <c r="D2" s="11"/>
      <c r="E2" s="11"/>
      <c r="F2" s="11"/>
    </row>
    <row r="3" spans="1:12" ht="15.75" x14ac:dyDescent="0.25">
      <c r="A3" s="13"/>
      <c r="B3" s="13"/>
      <c r="C3" s="13"/>
      <c r="D3" s="13"/>
      <c r="E3" s="13"/>
      <c r="F3" s="13"/>
    </row>
    <row r="4" spans="1:12" ht="15.75" x14ac:dyDescent="0.25">
      <c r="A4" s="14" t="s">
        <v>1</v>
      </c>
      <c r="B4" s="14" t="s">
        <v>5</v>
      </c>
      <c r="C4" s="15" t="s">
        <v>2</v>
      </c>
      <c r="D4" s="15" t="s">
        <v>3</v>
      </c>
      <c r="E4" s="14" t="s">
        <v>4</v>
      </c>
      <c r="F4" s="1" t="s">
        <v>27</v>
      </c>
      <c r="J4" s="12" t="s">
        <v>389</v>
      </c>
    </row>
    <row r="5" spans="1:12" ht="15.75" x14ac:dyDescent="0.25">
      <c r="A5" s="13"/>
      <c r="B5" s="12" t="s">
        <v>7</v>
      </c>
      <c r="C5" s="16" t="s">
        <v>25</v>
      </c>
      <c r="D5" s="13"/>
      <c r="E5" s="13"/>
      <c r="F5" s="12"/>
      <c r="J5" s="12" t="s">
        <v>390</v>
      </c>
    </row>
    <row r="6" spans="1:12" x14ac:dyDescent="0.2">
      <c r="B6" s="12" t="s">
        <v>12</v>
      </c>
      <c r="C6" s="16" t="s">
        <v>26</v>
      </c>
    </row>
    <row r="8" spans="1:12" s="18" customFormat="1" ht="15.75" x14ac:dyDescent="0.25">
      <c r="A8" s="14" t="s">
        <v>1</v>
      </c>
      <c r="B8" s="14" t="s">
        <v>5</v>
      </c>
      <c r="C8" s="15" t="s">
        <v>2</v>
      </c>
      <c r="D8" s="15" t="s">
        <v>3</v>
      </c>
      <c r="E8" s="14" t="s">
        <v>4</v>
      </c>
      <c r="F8" s="1" t="s">
        <v>27</v>
      </c>
      <c r="G8" s="12"/>
      <c r="H8" s="12"/>
      <c r="I8" s="12"/>
      <c r="J8" s="12"/>
      <c r="K8" s="12"/>
      <c r="L8" s="12"/>
    </row>
    <row r="9" spans="1:12" x14ac:dyDescent="0.2">
      <c r="A9" s="12" t="s">
        <v>8</v>
      </c>
      <c r="B9" s="12" t="s">
        <v>7</v>
      </c>
      <c r="C9" s="16" t="s">
        <v>25</v>
      </c>
      <c r="D9" s="16">
        <v>1997</v>
      </c>
      <c r="E9" s="12">
        <v>35</v>
      </c>
      <c r="F9" s="2">
        <v>86.25</v>
      </c>
    </row>
    <row r="10" spans="1:12" x14ac:dyDescent="0.2">
      <c r="A10" s="12" t="s">
        <v>9</v>
      </c>
      <c r="B10" s="12" t="s">
        <v>10</v>
      </c>
      <c r="C10" s="16" t="s">
        <v>25</v>
      </c>
      <c r="D10" s="16">
        <v>1996</v>
      </c>
      <c r="E10" s="12">
        <v>16</v>
      </c>
      <c r="F10" s="2">
        <v>75</v>
      </c>
    </row>
    <row r="11" spans="1:12" x14ac:dyDescent="0.2">
      <c r="A11" s="12" t="s">
        <v>6</v>
      </c>
      <c r="B11" s="12" t="s">
        <v>7</v>
      </c>
      <c r="C11" s="16" t="s">
        <v>25</v>
      </c>
      <c r="D11" s="16">
        <v>1997</v>
      </c>
      <c r="E11" s="12">
        <v>8</v>
      </c>
      <c r="F11" s="2">
        <v>65.45</v>
      </c>
    </row>
    <row r="12" spans="1:12" x14ac:dyDescent="0.2">
      <c r="A12" s="12" t="s">
        <v>11</v>
      </c>
      <c r="B12" s="12" t="s">
        <v>12</v>
      </c>
      <c r="C12" s="16" t="s">
        <v>26</v>
      </c>
      <c r="D12" s="16">
        <v>1995</v>
      </c>
      <c r="E12" s="12">
        <v>10</v>
      </c>
      <c r="F12" s="2">
        <v>73.8</v>
      </c>
    </row>
    <row r="13" spans="1:12" x14ac:dyDescent="0.2">
      <c r="A13" s="12" t="s">
        <v>13</v>
      </c>
      <c r="B13" s="12" t="s">
        <v>14</v>
      </c>
      <c r="C13" s="16" t="s">
        <v>26</v>
      </c>
      <c r="D13" s="16">
        <v>1992</v>
      </c>
      <c r="E13" s="12">
        <v>32</v>
      </c>
      <c r="F13" s="2">
        <v>90</v>
      </c>
    </row>
    <row r="14" spans="1:12" x14ac:dyDescent="0.2">
      <c r="A14" s="12" t="s">
        <v>15</v>
      </c>
      <c r="B14" s="12" t="s">
        <v>14</v>
      </c>
      <c r="C14" s="16" t="s">
        <v>26</v>
      </c>
      <c r="D14" s="16">
        <v>1996</v>
      </c>
      <c r="E14" s="12">
        <v>25</v>
      </c>
      <c r="F14" s="2">
        <v>74</v>
      </c>
    </row>
    <row r="15" spans="1:12" x14ac:dyDescent="0.2">
      <c r="A15" s="12" t="s">
        <v>16</v>
      </c>
      <c r="B15" s="12" t="s">
        <v>12</v>
      </c>
      <c r="C15" s="16" t="s">
        <v>26</v>
      </c>
      <c r="D15" s="16">
        <v>1998</v>
      </c>
      <c r="E15" s="12">
        <v>8</v>
      </c>
      <c r="F15" s="2">
        <v>49</v>
      </c>
    </row>
    <row r="16" spans="1:12" x14ac:dyDescent="0.2">
      <c r="A16" s="12" t="s">
        <v>17</v>
      </c>
      <c r="B16" s="12" t="s">
        <v>18</v>
      </c>
      <c r="C16" s="16" t="s">
        <v>25</v>
      </c>
      <c r="D16" s="16">
        <v>1988</v>
      </c>
      <c r="E16" s="12">
        <v>4</v>
      </c>
      <c r="F16" s="2">
        <v>156</v>
      </c>
    </row>
    <row r="17" spans="1:6" x14ac:dyDescent="0.2">
      <c r="A17" s="12" t="s">
        <v>19</v>
      </c>
      <c r="B17" s="12" t="s">
        <v>20</v>
      </c>
      <c r="C17" s="16" t="s">
        <v>25</v>
      </c>
      <c r="D17" s="16">
        <v>1999</v>
      </c>
      <c r="E17" s="12">
        <v>15</v>
      </c>
      <c r="F17" s="2">
        <v>62.25</v>
      </c>
    </row>
    <row r="18" spans="1:6" x14ac:dyDescent="0.2">
      <c r="A18" s="12" t="s">
        <v>21</v>
      </c>
      <c r="B18" s="12" t="s">
        <v>22</v>
      </c>
      <c r="C18" s="16" t="s">
        <v>26</v>
      </c>
      <c r="D18" s="16">
        <v>1986</v>
      </c>
      <c r="E18" s="12">
        <v>5</v>
      </c>
      <c r="F18" s="2">
        <v>281</v>
      </c>
    </row>
    <row r="19" spans="1:6" x14ac:dyDescent="0.2">
      <c r="A19" s="12" t="s">
        <v>24</v>
      </c>
      <c r="B19" s="12" t="s">
        <v>23</v>
      </c>
      <c r="C19" s="16" t="s">
        <v>25</v>
      </c>
      <c r="D19" s="16">
        <v>2000</v>
      </c>
      <c r="E19" s="12">
        <v>20</v>
      </c>
      <c r="F19" s="2">
        <v>52</v>
      </c>
    </row>
    <row r="21" spans="1:6" x14ac:dyDescent="0.2">
      <c r="D21" s="17" t="s">
        <v>433</v>
      </c>
      <c r="E21" s="12">
        <f>DCOUNT(A8:F19,E8,A4:F6)</f>
        <v>4</v>
      </c>
    </row>
    <row r="22" spans="1:6" x14ac:dyDescent="0.2">
      <c r="D22" s="17" t="s">
        <v>434</v>
      </c>
      <c r="E22" s="3">
        <f>DSUM(A8:F19,E8,A4:F6)</f>
        <v>61</v>
      </c>
    </row>
    <row r="23" spans="1:6" x14ac:dyDescent="0.2">
      <c r="D23" s="17" t="s">
        <v>435</v>
      </c>
      <c r="E23" s="12">
        <f>DMAX(A8:F19,F8,A4:F6)</f>
        <v>86.25</v>
      </c>
    </row>
    <row r="24" spans="1:6" x14ac:dyDescent="0.2">
      <c r="D24" s="17" t="s">
        <v>391</v>
      </c>
      <c r="E24" s="12">
        <f>SUMIF(B9:B19,B11,E9:E19)</f>
        <v>43</v>
      </c>
    </row>
    <row r="29" spans="1:6" x14ac:dyDescent="0.2">
      <c r="F29" s="3"/>
    </row>
    <row r="30" spans="1:6" x14ac:dyDescent="0.2">
      <c r="F30" s="3"/>
    </row>
    <row r="31" spans="1:6" x14ac:dyDescent="0.2">
      <c r="F31" s="4"/>
    </row>
    <row r="32" spans="1:6" x14ac:dyDescent="0.2">
      <c r="F32" s="3"/>
    </row>
    <row r="33" spans="6:6" x14ac:dyDescent="0.2">
      <c r="F33" s="3"/>
    </row>
    <row r="34" spans="6:6" x14ac:dyDescent="0.2">
      <c r="F34" s="3"/>
    </row>
    <row r="35" spans="6:6" x14ac:dyDescent="0.2">
      <c r="F35" s="3"/>
    </row>
    <row r="36" spans="6:6" x14ac:dyDescent="0.2">
      <c r="F36" s="3"/>
    </row>
    <row r="37" spans="6:6" x14ac:dyDescent="0.2">
      <c r="F37" s="3"/>
    </row>
    <row r="38" spans="6:6" x14ac:dyDescent="0.2">
      <c r="F38" s="3"/>
    </row>
  </sheetData>
  <mergeCells count="1">
    <mergeCell ref="A1:F1"/>
  </mergeCells>
  <phoneticPr fontId="2"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0"/>
  <dimension ref="A1:K85"/>
  <sheetViews>
    <sheetView workbookViewId="0">
      <pane ySplit="1" topLeftCell="A2" activePane="bottomLeft" state="frozen"/>
      <selection activeCell="C1" sqref="C1"/>
      <selection pane="bottomLeft" activeCell="C1" sqref="C1"/>
    </sheetView>
  </sheetViews>
  <sheetFormatPr defaultColWidth="26.7109375" defaultRowHeight="12.75" x14ac:dyDescent="0.2"/>
  <cols>
    <col min="1" max="1" width="25.85546875" bestFit="1" customWidth="1"/>
    <col min="2" max="2" width="22" bestFit="1" customWidth="1"/>
    <col min="3" max="4" width="22" customWidth="1"/>
    <col min="5" max="5" width="24.42578125" customWidth="1"/>
    <col min="6" max="6" width="22" customWidth="1"/>
    <col min="7" max="7" width="13.140625" bestFit="1" customWidth="1"/>
    <col min="8" max="8" width="10.5703125" bestFit="1" customWidth="1"/>
    <col min="9" max="9" width="12.42578125" bestFit="1" customWidth="1"/>
    <col min="10" max="10" width="11.7109375" customWidth="1"/>
    <col min="11" max="11" width="16.85546875" customWidth="1"/>
  </cols>
  <sheetData>
    <row r="1" spans="1:11" x14ac:dyDescent="0.2">
      <c r="A1" s="5" t="s">
        <v>384</v>
      </c>
      <c r="B1" s="71" t="s">
        <v>449</v>
      </c>
      <c r="C1" s="5"/>
      <c r="D1" s="5"/>
      <c r="E1" s="72" t="s">
        <v>946</v>
      </c>
      <c r="F1" s="71" t="s">
        <v>450</v>
      </c>
      <c r="G1" s="5" t="s">
        <v>386</v>
      </c>
      <c r="H1" s="5" t="s">
        <v>5</v>
      </c>
      <c r="I1" s="7" t="s">
        <v>388</v>
      </c>
      <c r="K1" s="9"/>
    </row>
    <row r="2" spans="1:11" x14ac:dyDescent="0.2">
      <c r="A2" s="6" t="s">
        <v>29</v>
      </c>
      <c r="B2" s="6" t="s">
        <v>462</v>
      </c>
      <c r="C2" s="6" t="s">
        <v>496</v>
      </c>
      <c r="D2" s="6"/>
      <c r="E2" s="6" t="str">
        <f>TRIM(_xlfn.CONCAT(C2," ",D2))</f>
        <v>Anders</v>
      </c>
      <c r="F2" s="6" t="s">
        <v>496</v>
      </c>
      <c r="G2" s="6" t="s">
        <v>32</v>
      </c>
      <c r="H2" s="6" t="s">
        <v>35</v>
      </c>
      <c r="I2" s="20">
        <v>10000</v>
      </c>
    </row>
    <row r="3" spans="1:11" ht="25.5" x14ac:dyDescent="0.2">
      <c r="A3" s="6" t="s">
        <v>36</v>
      </c>
      <c r="B3" s="6" t="s">
        <v>789</v>
      </c>
      <c r="C3" s="6" t="s">
        <v>790</v>
      </c>
      <c r="D3" s="6"/>
      <c r="E3" s="6" t="str">
        <f t="shared" ref="E3:E66" si="0">TRIM(_xlfn.CONCAT(C3," ",D3))</f>
        <v>Trujillo</v>
      </c>
      <c r="F3" s="6" t="s">
        <v>790</v>
      </c>
      <c r="G3" s="6" t="s">
        <v>39</v>
      </c>
      <c r="H3" s="6" t="s">
        <v>41</v>
      </c>
      <c r="I3" s="20">
        <v>15000</v>
      </c>
    </row>
    <row r="4" spans="1:11" x14ac:dyDescent="0.2">
      <c r="A4" s="6" t="s">
        <v>42</v>
      </c>
      <c r="B4" s="6" t="s">
        <v>791</v>
      </c>
      <c r="C4" s="6" t="s">
        <v>792</v>
      </c>
      <c r="D4" s="6"/>
      <c r="E4" s="6" t="str">
        <f t="shared" si="0"/>
        <v>Moreno</v>
      </c>
      <c r="F4" s="6" t="s">
        <v>792</v>
      </c>
      <c r="G4" s="6" t="s">
        <v>39</v>
      </c>
      <c r="H4" s="6" t="s">
        <v>41</v>
      </c>
      <c r="I4" s="20">
        <v>45000</v>
      </c>
    </row>
    <row r="5" spans="1:11" x14ac:dyDescent="0.2">
      <c r="A5" s="6" t="s">
        <v>45</v>
      </c>
      <c r="B5" s="6" t="s">
        <v>793</v>
      </c>
      <c r="C5" s="6" t="s">
        <v>794</v>
      </c>
      <c r="D5" s="6"/>
      <c r="E5" s="6" t="str">
        <f t="shared" si="0"/>
        <v>Hardy</v>
      </c>
      <c r="F5" s="6" t="s">
        <v>794</v>
      </c>
      <c r="G5" s="6" t="s">
        <v>47</v>
      </c>
      <c r="H5" s="6" t="s">
        <v>49</v>
      </c>
      <c r="I5" s="20">
        <v>650000</v>
      </c>
    </row>
    <row r="6" spans="1:11" x14ac:dyDescent="0.2">
      <c r="A6" s="6" t="s">
        <v>50</v>
      </c>
      <c r="B6" s="6" t="s">
        <v>576</v>
      </c>
      <c r="C6" s="6" t="s">
        <v>795</v>
      </c>
      <c r="D6" s="6"/>
      <c r="E6" s="6" t="str">
        <f t="shared" si="0"/>
        <v>Berglund</v>
      </c>
      <c r="F6" s="6" t="s">
        <v>795</v>
      </c>
      <c r="G6" s="6" t="s">
        <v>53</v>
      </c>
      <c r="H6" s="6" t="s">
        <v>55</v>
      </c>
      <c r="I6" s="20">
        <v>12000</v>
      </c>
    </row>
    <row r="7" spans="1:11" x14ac:dyDescent="0.2">
      <c r="A7" s="6" t="s">
        <v>56</v>
      </c>
      <c r="B7" s="6" t="s">
        <v>796</v>
      </c>
      <c r="C7" s="6" t="s">
        <v>797</v>
      </c>
      <c r="D7" s="6"/>
      <c r="E7" s="6" t="str">
        <f t="shared" si="0"/>
        <v>Moos</v>
      </c>
      <c r="F7" s="6" t="s">
        <v>797</v>
      </c>
      <c r="G7" s="6" t="s">
        <v>58</v>
      </c>
      <c r="H7" s="6" t="s">
        <v>35</v>
      </c>
      <c r="I7" s="20">
        <v>80000</v>
      </c>
    </row>
    <row r="8" spans="1:11" x14ac:dyDescent="0.2">
      <c r="A8" s="6" t="s">
        <v>60</v>
      </c>
      <c r="B8" s="6" t="s">
        <v>798</v>
      </c>
      <c r="C8" s="6" t="s">
        <v>799</v>
      </c>
      <c r="D8" s="6"/>
      <c r="E8" s="6" t="str">
        <f t="shared" si="0"/>
        <v>Citeaux</v>
      </c>
      <c r="F8" s="6" t="s">
        <v>799</v>
      </c>
      <c r="G8" s="6" t="s">
        <v>63</v>
      </c>
      <c r="H8" s="6" t="s">
        <v>65</v>
      </c>
      <c r="I8" s="20">
        <v>260000</v>
      </c>
    </row>
    <row r="9" spans="1:11" x14ac:dyDescent="0.2">
      <c r="A9" s="6" t="s">
        <v>66</v>
      </c>
      <c r="B9" s="6" t="s">
        <v>800</v>
      </c>
      <c r="C9" s="6" t="s">
        <v>801</v>
      </c>
      <c r="D9" s="6"/>
      <c r="E9" s="6" t="str">
        <f t="shared" si="0"/>
        <v>Sommer</v>
      </c>
      <c r="F9" s="6" t="s">
        <v>801</v>
      </c>
      <c r="G9" s="6" t="s">
        <v>68</v>
      </c>
      <c r="H9" s="6" t="s">
        <v>70</v>
      </c>
      <c r="I9" s="20">
        <v>12000</v>
      </c>
    </row>
    <row r="10" spans="1:11" x14ac:dyDescent="0.2">
      <c r="A10" s="6" t="s">
        <v>71</v>
      </c>
      <c r="B10" s="6" t="s">
        <v>802</v>
      </c>
      <c r="C10" s="6" t="s">
        <v>803</v>
      </c>
      <c r="D10" s="6"/>
      <c r="E10" s="6" t="str">
        <f t="shared" si="0"/>
        <v>Lebihan</v>
      </c>
      <c r="F10" s="6" t="s">
        <v>803</v>
      </c>
      <c r="G10" s="6" t="s">
        <v>73</v>
      </c>
      <c r="H10" s="6" t="s">
        <v>65</v>
      </c>
      <c r="I10" s="20">
        <v>6000</v>
      </c>
    </row>
    <row r="11" spans="1:11" x14ac:dyDescent="0.2">
      <c r="A11" s="6" t="s">
        <v>75</v>
      </c>
      <c r="B11" s="6" t="s">
        <v>804</v>
      </c>
      <c r="C11" s="6" t="s">
        <v>805</v>
      </c>
      <c r="D11" s="6"/>
      <c r="E11" s="6" t="str">
        <f t="shared" si="0"/>
        <v>Lincoln</v>
      </c>
      <c r="F11" s="6" t="s">
        <v>805</v>
      </c>
      <c r="G11" s="6" t="s">
        <v>78</v>
      </c>
      <c r="H11" s="6" t="s">
        <v>80</v>
      </c>
      <c r="I11" s="20">
        <v>65000</v>
      </c>
    </row>
    <row r="12" spans="1:11" x14ac:dyDescent="0.2">
      <c r="A12" s="6" t="s">
        <v>81</v>
      </c>
      <c r="B12" s="6" t="s">
        <v>614</v>
      </c>
      <c r="C12" s="6" t="s">
        <v>806</v>
      </c>
      <c r="D12" s="6"/>
      <c r="E12" s="6" t="str">
        <f t="shared" si="0"/>
        <v>Ashworth</v>
      </c>
      <c r="F12" s="6" t="s">
        <v>806</v>
      </c>
      <c r="G12" s="6" t="s">
        <v>47</v>
      </c>
      <c r="H12" s="6" t="s">
        <v>49</v>
      </c>
      <c r="I12" s="20">
        <v>3200</v>
      </c>
    </row>
    <row r="13" spans="1:11" x14ac:dyDescent="0.2">
      <c r="A13" s="6" t="s">
        <v>84</v>
      </c>
      <c r="B13" s="6" t="s">
        <v>807</v>
      </c>
      <c r="C13" s="6" t="s">
        <v>808</v>
      </c>
      <c r="D13" s="6"/>
      <c r="E13" s="6" t="str">
        <f t="shared" si="0"/>
        <v>Simpson</v>
      </c>
      <c r="F13" s="6" t="s">
        <v>808</v>
      </c>
      <c r="G13" s="6" t="s">
        <v>87</v>
      </c>
      <c r="H13" s="6" t="s">
        <v>10</v>
      </c>
      <c r="I13" s="20">
        <v>480100</v>
      </c>
    </row>
    <row r="14" spans="1:11" x14ac:dyDescent="0.2">
      <c r="A14" s="6" t="s">
        <v>89</v>
      </c>
      <c r="B14" s="6" t="s">
        <v>809</v>
      </c>
      <c r="C14" s="6" t="s">
        <v>810</v>
      </c>
      <c r="D14" s="6"/>
      <c r="E14" s="6" t="str">
        <f t="shared" si="0"/>
        <v>Chang</v>
      </c>
      <c r="F14" s="6" t="s">
        <v>810</v>
      </c>
      <c r="G14" s="6" t="s">
        <v>39</v>
      </c>
      <c r="H14" s="6" t="s">
        <v>41</v>
      </c>
      <c r="I14" s="20">
        <v>48000</v>
      </c>
    </row>
    <row r="15" spans="1:11" x14ac:dyDescent="0.2">
      <c r="A15" s="6" t="s">
        <v>92</v>
      </c>
      <c r="B15" s="6" t="s">
        <v>811</v>
      </c>
      <c r="C15" s="6" t="s">
        <v>812</v>
      </c>
      <c r="D15" s="6"/>
      <c r="E15" s="6" t="str">
        <f t="shared" si="0"/>
        <v>Wang</v>
      </c>
      <c r="F15" s="6" t="s">
        <v>812</v>
      </c>
      <c r="G15" s="6" t="s">
        <v>94</v>
      </c>
      <c r="H15" s="6" t="s">
        <v>96</v>
      </c>
      <c r="I15" s="20">
        <v>680000</v>
      </c>
    </row>
    <row r="16" spans="1:11" x14ac:dyDescent="0.2">
      <c r="A16" s="6" t="s">
        <v>97</v>
      </c>
      <c r="B16" s="6" t="s">
        <v>813</v>
      </c>
      <c r="C16" s="6" t="s">
        <v>814</v>
      </c>
      <c r="D16" s="6"/>
      <c r="E16" s="6" t="str">
        <f t="shared" si="0"/>
        <v>Afonso</v>
      </c>
      <c r="F16" s="6" t="s">
        <v>814</v>
      </c>
      <c r="G16" s="6" t="s">
        <v>100</v>
      </c>
      <c r="H16" s="6" t="s">
        <v>102</v>
      </c>
      <c r="I16" s="20">
        <v>1200000</v>
      </c>
    </row>
    <row r="17" spans="1:9" x14ac:dyDescent="0.2">
      <c r="A17" s="6" t="s">
        <v>103</v>
      </c>
      <c r="B17" s="6" t="s">
        <v>804</v>
      </c>
      <c r="C17" s="6" t="s">
        <v>815</v>
      </c>
      <c r="D17" s="6"/>
      <c r="E17" s="6" t="str">
        <f t="shared" si="0"/>
        <v>Brown</v>
      </c>
      <c r="F17" s="6" t="s">
        <v>815</v>
      </c>
      <c r="G17" s="6" t="s">
        <v>47</v>
      </c>
      <c r="H17" s="6" t="s">
        <v>49</v>
      </c>
      <c r="I17" s="20">
        <v>13000</v>
      </c>
    </row>
    <row r="18" spans="1:9" x14ac:dyDescent="0.2">
      <c r="A18" s="6" t="s">
        <v>357</v>
      </c>
      <c r="B18" s="6" t="s">
        <v>816</v>
      </c>
      <c r="C18" s="6" t="s">
        <v>817</v>
      </c>
      <c r="D18" s="6"/>
      <c r="E18" s="6" t="str">
        <f t="shared" si="0"/>
        <v>Müller</v>
      </c>
      <c r="F18" s="6" t="s">
        <v>817</v>
      </c>
      <c r="G18" s="6" t="s">
        <v>359</v>
      </c>
      <c r="H18" s="6" t="s">
        <v>35</v>
      </c>
      <c r="I18" s="20">
        <v>7000</v>
      </c>
    </row>
    <row r="19" spans="1:9" x14ac:dyDescent="0.2">
      <c r="A19" s="6" t="s">
        <v>106</v>
      </c>
      <c r="B19" s="6" t="s">
        <v>408</v>
      </c>
      <c r="C19" s="6" t="s">
        <v>818</v>
      </c>
      <c r="D19" s="6"/>
      <c r="E19" s="6" t="str">
        <f t="shared" si="0"/>
        <v>Ottlieb</v>
      </c>
      <c r="F19" s="6" t="s">
        <v>818</v>
      </c>
      <c r="G19" s="6" t="s">
        <v>108</v>
      </c>
      <c r="H19" s="6" t="s">
        <v>35</v>
      </c>
      <c r="I19" s="20">
        <v>150000</v>
      </c>
    </row>
    <row r="20" spans="1:9" x14ac:dyDescent="0.2">
      <c r="A20" s="6" t="s">
        <v>110</v>
      </c>
      <c r="B20" s="6" t="s">
        <v>819</v>
      </c>
      <c r="C20" s="6" t="s">
        <v>820</v>
      </c>
      <c r="D20" s="6"/>
      <c r="E20" s="6" t="str">
        <f t="shared" si="0"/>
        <v>Labrune</v>
      </c>
      <c r="F20" s="6" t="s">
        <v>820</v>
      </c>
      <c r="G20" s="6" t="s">
        <v>112</v>
      </c>
      <c r="H20" s="6" t="s">
        <v>65</v>
      </c>
      <c r="I20" s="20">
        <v>48000</v>
      </c>
    </row>
    <row r="21" spans="1:9" x14ac:dyDescent="0.2">
      <c r="A21" s="6" t="s">
        <v>117</v>
      </c>
      <c r="B21" s="6" t="s">
        <v>821</v>
      </c>
      <c r="C21" s="6" t="s">
        <v>822</v>
      </c>
      <c r="D21" s="6"/>
      <c r="E21" s="6" t="str">
        <f t="shared" si="0"/>
        <v>Mendel</v>
      </c>
      <c r="F21" s="6" t="s">
        <v>822</v>
      </c>
      <c r="G21" s="6" t="s">
        <v>120</v>
      </c>
      <c r="H21" s="6" t="s">
        <v>122</v>
      </c>
      <c r="I21" s="20">
        <v>654000</v>
      </c>
    </row>
    <row r="22" spans="1:9" x14ac:dyDescent="0.2">
      <c r="A22" s="6" t="s">
        <v>123</v>
      </c>
      <c r="B22" s="6" t="s">
        <v>823</v>
      </c>
      <c r="C22" s="6" t="s">
        <v>824</v>
      </c>
      <c r="D22" s="6"/>
      <c r="E22" s="6" t="str">
        <f t="shared" si="0"/>
        <v>Cruz</v>
      </c>
      <c r="F22" s="6" t="s">
        <v>824</v>
      </c>
      <c r="G22" s="6" t="s">
        <v>100</v>
      </c>
      <c r="H22" s="6" t="s">
        <v>102</v>
      </c>
      <c r="I22" s="20">
        <v>23000</v>
      </c>
    </row>
    <row r="23" spans="1:9" ht="25.5" x14ac:dyDescent="0.2">
      <c r="A23" s="6" t="s">
        <v>127</v>
      </c>
      <c r="B23" s="6" t="s">
        <v>825</v>
      </c>
      <c r="C23" s="6" t="s">
        <v>826</v>
      </c>
      <c r="D23" s="6"/>
      <c r="E23" s="6" t="str">
        <f t="shared" si="0"/>
        <v>Roel</v>
      </c>
      <c r="F23" s="6" t="s">
        <v>826</v>
      </c>
      <c r="G23" s="6" t="s">
        <v>68</v>
      </c>
      <c r="H23" s="6" t="s">
        <v>70</v>
      </c>
      <c r="I23" s="20">
        <v>123000</v>
      </c>
    </row>
    <row r="24" spans="1:9" x14ac:dyDescent="0.2">
      <c r="A24" s="6" t="s">
        <v>130</v>
      </c>
      <c r="B24" s="6" t="s">
        <v>827</v>
      </c>
      <c r="C24" s="6" t="s">
        <v>828</v>
      </c>
      <c r="D24" s="6"/>
      <c r="E24" s="6" t="str">
        <f t="shared" si="0"/>
        <v>Rancé</v>
      </c>
      <c r="F24" s="6" t="s">
        <v>828</v>
      </c>
      <c r="G24" s="6" t="s">
        <v>133</v>
      </c>
      <c r="H24" s="6" t="s">
        <v>65</v>
      </c>
      <c r="I24" s="20">
        <v>3200</v>
      </c>
    </row>
    <row r="25" spans="1:9" x14ac:dyDescent="0.2">
      <c r="A25" s="6" t="s">
        <v>135</v>
      </c>
      <c r="B25" s="6" t="s">
        <v>462</v>
      </c>
      <c r="C25" s="6" t="s">
        <v>574</v>
      </c>
      <c r="D25" s="6"/>
      <c r="E25" s="6" t="str">
        <f t="shared" si="0"/>
        <v>Larsson</v>
      </c>
      <c r="F25" s="6" t="s">
        <v>574</v>
      </c>
      <c r="G25" s="6" t="s">
        <v>137</v>
      </c>
      <c r="H25" s="6" t="s">
        <v>55</v>
      </c>
      <c r="I25" s="20">
        <v>35000</v>
      </c>
    </row>
    <row r="26" spans="1:9" x14ac:dyDescent="0.2">
      <c r="A26" s="6" t="s">
        <v>143</v>
      </c>
      <c r="B26" s="6" t="s">
        <v>829</v>
      </c>
      <c r="C26" s="6" t="s">
        <v>830</v>
      </c>
      <c r="D26" s="6"/>
      <c r="E26" s="6" t="str">
        <f t="shared" si="0"/>
        <v>Schmitt</v>
      </c>
      <c r="F26" s="6" t="s">
        <v>830</v>
      </c>
      <c r="G26" s="6" t="s">
        <v>112</v>
      </c>
      <c r="H26" s="6" t="s">
        <v>65</v>
      </c>
      <c r="I26" s="20">
        <v>98000</v>
      </c>
    </row>
    <row r="27" spans="1:9" x14ac:dyDescent="0.2">
      <c r="A27" s="6" t="s">
        <v>145</v>
      </c>
      <c r="B27" s="6" t="s">
        <v>831</v>
      </c>
      <c r="C27" s="6" t="s">
        <v>832</v>
      </c>
      <c r="D27" s="6"/>
      <c r="E27" s="6" t="str">
        <f t="shared" si="0"/>
        <v>Accorti</v>
      </c>
      <c r="F27" s="6" t="s">
        <v>832</v>
      </c>
      <c r="G27" s="6" t="s">
        <v>147</v>
      </c>
      <c r="H27" s="6" t="s">
        <v>149</v>
      </c>
      <c r="I27" s="20">
        <v>45000</v>
      </c>
    </row>
    <row r="28" spans="1:9" x14ac:dyDescent="0.2">
      <c r="A28" s="6" t="s">
        <v>139</v>
      </c>
      <c r="B28" s="6" t="s">
        <v>421</v>
      </c>
      <c r="C28" s="6" t="s">
        <v>833</v>
      </c>
      <c r="D28" s="6"/>
      <c r="E28" s="6" t="str">
        <f t="shared" si="0"/>
        <v>Franken</v>
      </c>
      <c r="F28" s="6" t="s">
        <v>833</v>
      </c>
      <c r="G28" s="6" t="s">
        <v>141</v>
      </c>
      <c r="H28" s="6" t="s">
        <v>35</v>
      </c>
      <c r="I28" s="20">
        <v>48000</v>
      </c>
    </row>
    <row r="29" spans="1:9" ht="25.5" x14ac:dyDescent="0.2">
      <c r="A29" s="6" t="s">
        <v>150</v>
      </c>
      <c r="B29" s="6" t="s">
        <v>834</v>
      </c>
      <c r="C29" s="6" t="s">
        <v>835</v>
      </c>
      <c r="D29" s="6"/>
      <c r="E29" s="6" t="str">
        <f t="shared" si="0"/>
        <v>Rodriguez</v>
      </c>
      <c r="F29" s="6" t="s">
        <v>835</v>
      </c>
      <c r="G29" s="6" t="s">
        <v>152</v>
      </c>
      <c r="H29" s="6" t="s">
        <v>18</v>
      </c>
      <c r="I29" s="20">
        <v>35000</v>
      </c>
    </row>
    <row r="30" spans="1:9" x14ac:dyDescent="0.2">
      <c r="A30" s="6" t="s">
        <v>154</v>
      </c>
      <c r="B30" s="6" t="s">
        <v>836</v>
      </c>
      <c r="C30" s="6" t="s">
        <v>837</v>
      </c>
      <c r="D30" s="6"/>
      <c r="E30" s="6" t="str">
        <f t="shared" si="0"/>
        <v>Saavedra</v>
      </c>
      <c r="F30" s="6" t="s">
        <v>837</v>
      </c>
      <c r="G30" s="6" t="s">
        <v>156</v>
      </c>
      <c r="H30" s="6" t="s">
        <v>70</v>
      </c>
      <c r="I30" s="20">
        <v>59000</v>
      </c>
    </row>
    <row r="31" spans="1:9" x14ac:dyDescent="0.2">
      <c r="A31" s="6" t="s">
        <v>158</v>
      </c>
      <c r="B31" s="6" t="s">
        <v>838</v>
      </c>
      <c r="C31" s="6" t="s">
        <v>813</v>
      </c>
      <c r="D31" s="6" t="s">
        <v>839</v>
      </c>
      <c r="E31" s="6" t="str">
        <f t="shared" si="0"/>
        <v>Pedro Freyre</v>
      </c>
      <c r="F31" s="6" t="s">
        <v>943</v>
      </c>
      <c r="G31" s="6" t="s">
        <v>160</v>
      </c>
      <c r="H31" s="6" t="s">
        <v>70</v>
      </c>
      <c r="I31" s="20">
        <v>32000</v>
      </c>
    </row>
    <row r="32" spans="1:9" x14ac:dyDescent="0.2">
      <c r="A32" s="6" t="s">
        <v>162</v>
      </c>
      <c r="B32" s="6" t="s">
        <v>840</v>
      </c>
      <c r="C32" s="6" t="s">
        <v>841</v>
      </c>
      <c r="D32" s="6"/>
      <c r="E32" s="6" t="str">
        <f t="shared" si="0"/>
        <v>Fonseca</v>
      </c>
      <c r="F32" s="6" t="s">
        <v>841</v>
      </c>
      <c r="G32" s="6" t="s">
        <v>164</v>
      </c>
      <c r="H32" s="6" t="s">
        <v>102</v>
      </c>
      <c r="I32" s="20">
        <v>48000</v>
      </c>
    </row>
    <row r="33" spans="1:9" x14ac:dyDescent="0.2">
      <c r="A33" s="6" t="s">
        <v>166</v>
      </c>
      <c r="B33" s="6" t="s">
        <v>842</v>
      </c>
      <c r="C33" s="6" t="s">
        <v>843</v>
      </c>
      <c r="D33" s="6"/>
      <c r="E33" s="6" t="str">
        <f t="shared" si="0"/>
        <v>Snyder</v>
      </c>
      <c r="F33" s="6" t="s">
        <v>843</v>
      </c>
      <c r="G33" s="6" t="s">
        <v>168</v>
      </c>
      <c r="H33" s="6" t="s">
        <v>170</v>
      </c>
      <c r="I33" s="20">
        <v>9870</v>
      </c>
    </row>
    <row r="34" spans="1:9" x14ac:dyDescent="0.2">
      <c r="A34" s="6" t="s">
        <v>180</v>
      </c>
      <c r="B34" s="6" t="s">
        <v>844</v>
      </c>
      <c r="C34" s="6" t="s">
        <v>845</v>
      </c>
      <c r="D34" s="6"/>
      <c r="E34" s="6" t="str">
        <f t="shared" si="0"/>
        <v>Hernández</v>
      </c>
      <c r="F34" s="6" t="s">
        <v>845</v>
      </c>
      <c r="G34" s="6" t="s">
        <v>182</v>
      </c>
      <c r="H34" s="6" t="s">
        <v>175</v>
      </c>
      <c r="I34" s="20">
        <v>35000</v>
      </c>
    </row>
    <row r="35" spans="1:9" x14ac:dyDescent="0.2">
      <c r="A35" s="6" t="s">
        <v>184</v>
      </c>
      <c r="B35" s="6" t="s">
        <v>846</v>
      </c>
      <c r="C35" s="6" t="s">
        <v>847</v>
      </c>
      <c r="D35" s="6"/>
      <c r="E35" s="6" t="str">
        <f t="shared" si="0"/>
        <v>Latimer</v>
      </c>
      <c r="F35" s="6" t="s">
        <v>847</v>
      </c>
      <c r="G35" s="6" t="s">
        <v>186</v>
      </c>
      <c r="H35" s="6" t="s">
        <v>170</v>
      </c>
      <c r="I35" s="20">
        <v>5900</v>
      </c>
    </row>
    <row r="36" spans="1:9" x14ac:dyDescent="0.2">
      <c r="A36" s="6" t="s">
        <v>188</v>
      </c>
      <c r="B36" s="6" t="s">
        <v>848</v>
      </c>
      <c r="C36" s="6" t="s">
        <v>849</v>
      </c>
      <c r="D36" s="6"/>
      <c r="E36" s="6" t="str">
        <f t="shared" si="0"/>
        <v>McKenna</v>
      </c>
      <c r="F36" s="6" t="s">
        <v>849</v>
      </c>
      <c r="G36" s="6" t="s">
        <v>190</v>
      </c>
      <c r="H36" s="6" t="s">
        <v>191</v>
      </c>
      <c r="I36" s="20">
        <v>987100</v>
      </c>
    </row>
    <row r="37" spans="1:9" x14ac:dyDescent="0.2">
      <c r="A37" s="6" t="s">
        <v>192</v>
      </c>
      <c r="B37" s="6" t="s">
        <v>850</v>
      </c>
      <c r="C37" s="6" t="s">
        <v>851</v>
      </c>
      <c r="D37" s="6"/>
      <c r="E37" s="6" t="str">
        <f t="shared" si="0"/>
        <v>Bennett</v>
      </c>
      <c r="F37" s="6" t="s">
        <v>851</v>
      </c>
      <c r="G37" s="6" t="s">
        <v>194</v>
      </c>
      <c r="H37" s="6" t="s">
        <v>49</v>
      </c>
      <c r="I37" s="20">
        <v>32100</v>
      </c>
    </row>
    <row r="38" spans="1:9" x14ac:dyDescent="0.2">
      <c r="A38" s="6" t="s">
        <v>196</v>
      </c>
      <c r="B38" s="6" t="s">
        <v>852</v>
      </c>
      <c r="C38" s="6" t="s">
        <v>853</v>
      </c>
      <c r="D38" s="6"/>
      <c r="E38" s="6" t="str">
        <f t="shared" si="0"/>
        <v>Cramer</v>
      </c>
      <c r="F38" s="6" t="s">
        <v>853</v>
      </c>
      <c r="G38" s="6" t="s">
        <v>198</v>
      </c>
      <c r="H38" s="6" t="s">
        <v>35</v>
      </c>
      <c r="I38" s="20">
        <v>45000</v>
      </c>
    </row>
    <row r="39" spans="1:9" x14ac:dyDescent="0.2">
      <c r="A39" s="6" t="s">
        <v>200</v>
      </c>
      <c r="B39" s="6" t="s">
        <v>588</v>
      </c>
      <c r="C39" s="6" t="s">
        <v>854</v>
      </c>
      <c r="D39" s="6"/>
      <c r="E39" s="6" t="str">
        <f t="shared" si="0"/>
        <v>Tonini</v>
      </c>
      <c r="F39" s="6" t="s">
        <v>854</v>
      </c>
      <c r="G39" s="6" t="s">
        <v>202</v>
      </c>
      <c r="H39" s="6" t="s">
        <v>65</v>
      </c>
      <c r="I39" s="20">
        <v>65800</v>
      </c>
    </row>
    <row r="40" spans="1:9" x14ac:dyDescent="0.2">
      <c r="A40" s="6" t="s">
        <v>204</v>
      </c>
      <c r="B40" s="6" t="s">
        <v>855</v>
      </c>
      <c r="C40" s="6" t="s">
        <v>856</v>
      </c>
      <c r="D40" s="6"/>
      <c r="E40" s="6" t="str">
        <f t="shared" si="0"/>
        <v>Roulet</v>
      </c>
      <c r="F40" s="6" t="s">
        <v>856</v>
      </c>
      <c r="G40" s="6" t="s">
        <v>206</v>
      </c>
      <c r="H40" s="6" t="s">
        <v>65</v>
      </c>
      <c r="I40" s="20">
        <v>6500</v>
      </c>
    </row>
    <row r="41" spans="1:9" ht="25.5" x14ac:dyDescent="0.2">
      <c r="A41" s="6" t="s">
        <v>208</v>
      </c>
      <c r="B41" s="6" t="s">
        <v>846</v>
      </c>
      <c r="C41" s="6" t="s">
        <v>857</v>
      </c>
      <c r="D41" s="6"/>
      <c r="E41" s="6" t="str">
        <f t="shared" si="0"/>
        <v>Tannamuri</v>
      </c>
      <c r="F41" s="6" t="s">
        <v>857</v>
      </c>
      <c r="G41" s="6" t="s">
        <v>210</v>
      </c>
      <c r="H41" s="6" t="s">
        <v>80</v>
      </c>
      <c r="I41" s="20">
        <v>32000</v>
      </c>
    </row>
    <row r="42" spans="1:9" x14ac:dyDescent="0.2">
      <c r="A42" s="6" t="s">
        <v>212</v>
      </c>
      <c r="B42" s="6" t="s">
        <v>858</v>
      </c>
      <c r="C42" s="6" t="s">
        <v>859</v>
      </c>
      <c r="D42" s="6"/>
      <c r="E42" s="6" t="str">
        <f t="shared" si="0"/>
        <v>Steel</v>
      </c>
      <c r="F42" s="6" t="s">
        <v>859</v>
      </c>
      <c r="G42" s="6" t="s">
        <v>372</v>
      </c>
      <c r="H42" s="6" t="s">
        <v>170</v>
      </c>
      <c r="I42" s="20">
        <v>89000</v>
      </c>
    </row>
    <row r="43" spans="1:9" x14ac:dyDescent="0.2">
      <c r="A43" s="6" t="s">
        <v>215</v>
      </c>
      <c r="B43" s="6" t="s">
        <v>860</v>
      </c>
      <c r="C43" s="6" t="s">
        <v>861</v>
      </c>
      <c r="D43" s="6"/>
      <c r="E43" s="6" t="str">
        <f t="shared" si="0"/>
        <v>Messner</v>
      </c>
      <c r="F43" s="6" t="s">
        <v>861</v>
      </c>
      <c r="G43" s="6" t="s">
        <v>217</v>
      </c>
      <c r="H43" s="6" t="s">
        <v>35</v>
      </c>
      <c r="I43" s="20">
        <v>7800</v>
      </c>
    </row>
    <row r="44" spans="1:9" x14ac:dyDescent="0.2">
      <c r="A44" s="6" t="s">
        <v>219</v>
      </c>
      <c r="B44" s="6" t="s">
        <v>862</v>
      </c>
      <c r="C44" s="6" t="s">
        <v>863</v>
      </c>
      <c r="D44" s="6"/>
      <c r="E44" s="6" t="str">
        <f t="shared" si="0"/>
        <v>Yorres</v>
      </c>
      <c r="F44" s="6" t="s">
        <v>863</v>
      </c>
      <c r="G44" s="6" t="s">
        <v>221</v>
      </c>
      <c r="H44" s="6" t="s">
        <v>170</v>
      </c>
      <c r="I44" s="20">
        <v>65000</v>
      </c>
    </row>
    <row r="45" spans="1:9" x14ac:dyDescent="0.2">
      <c r="A45" s="6" t="s">
        <v>223</v>
      </c>
      <c r="B45" s="6" t="s">
        <v>844</v>
      </c>
      <c r="C45" s="6" t="s">
        <v>864</v>
      </c>
      <c r="D45" s="6"/>
      <c r="E45" s="6" t="str">
        <f t="shared" si="0"/>
        <v>González</v>
      </c>
      <c r="F45" s="6" t="s">
        <v>864</v>
      </c>
      <c r="G45" s="6" t="s">
        <v>225</v>
      </c>
      <c r="H45" s="6" t="s">
        <v>175</v>
      </c>
      <c r="I45" s="20">
        <v>6500</v>
      </c>
    </row>
    <row r="46" spans="1:9" x14ac:dyDescent="0.2">
      <c r="A46" s="6" t="s">
        <v>231</v>
      </c>
      <c r="B46" s="6" t="s">
        <v>865</v>
      </c>
      <c r="C46" s="6" t="s">
        <v>866</v>
      </c>
      <c r="D46" s="6"/>
      <c r="E46" s="6" t="str">
        <f t="shared" si="0"/>
        <v>Wilson</v>
      </c>
      <c r="F46" s="6" t="s">
        <v>866</v>
      </c>
      <c r="G46" s="6" t="s">
        <v>233</v>
      </c>
      <c r="H46" s="6" t="s">
        <v>170</v>
      </c>
      <c r="I46" s="20">
        <v>1500</v>
      </c>
    </row>
    <row r="47" spans="1:9" x14ac:dyDescent="0.2">
      <c r="A47" s="6" t="s">
        <v>235</v>
      </c>
      <c r="B47" s="6" t="s">
        <v>867</v>
      </c>
      <c r="C47" s="6" t="s">
        <v>868</v>
      </c>
      <c r="D47" s="6"/>
      <c r="E47" s="6" t="str">
        <f t="shared" si="0"/>
        <v>Rovelli</v>
      </c>
      <c r="F47" s="6" t="s">
        <v>868</v>
      </c>
      <c r="G47" s="6" t="s">
        <v>237</v>
      </c>
      <c r="H47" s="6" t="s">
        <v>149</v>
      </c>
      <c r="I47" s="20">
        <v>65400</v>
      </c>
    </row>
    <row r="48" spans="1:9" x14ac:dyDescent="0.2">
      <c r="A48" s="6" t="s">
        <v>239</v>
      </c>
      <c r="B48" s="6" t="s">
        <v>869</v>
      </c>
      <c r="C48" s="6" t="s">
        <v>870</v>
      </c>
      <c r="D48" s="6"/>
      <c r="E48" s="6" t="str">
        <f t="shared" si="0"/>
        <v>Dewey</v>
      </c>
      <c r="F48" s="6" t="s">
        <v>870</v>
      </c>
      <c r="G48" s="6" t="s">
        <v>241</v>
      </c>
      <c r="H48" s="6" t="s">
        <v>243</v>
      </c>
      <c r="I48" s="20">
        <v>89000</v>
      </c>
    </row>
    <row r="49" spans="1:9" x14ac:dyDescent="0.2">
      <c r="A49" s="6" t="s">
        <v>244</v>
      </c>
      <c r="B49" s="6" t="s">
        <v>871</v>
      </c>
      <c r="C49" s="6" t="s">
        <v>872</v>
      </c>
      <c r="D49" s="6"/>
      <c r="E49" s="6" t="str">
        <f t="shared" si="0"/>
        <v>Fresnière</v>
      </c>
      <c r="F49" s="6" t="s">
        <v>872</v>
      </c>
      <c r="G49" s="6" t="s">
        <v>246</v>
      </c>
      <c r="H49" s="6" t="s">
        <v>80</v>
      </c>
      <c r="I49" s="20">
        <v>78900</v>
      </c>
    </row>
    <row r="50" spans="1:9" x14ac:dyDescent="0.2">
      <c r="A50" s="6" t="s">
        <v>248</v>
      </c>
      <c r="B50" s="6" t="s">
        <v>873</v>
      </c>
      <c r="C50" s="6" t="s">
        <v>874</v>
      </c>
      <c r="D50" s="6"/>
      <c r="E50" s="6" t="str">
        <f t="shared" si="0"/>
        <v>Feuer</v>
      </c>
      <c r="F50" s="6" t="s">
        <v>874</v>
      </c>
      <c r="G50" s="6" t="s">
        <v>250</v>
      </c>
      <c r="H50" s="6" t="s">
        <v>35</v>
      </c>
      <c r="I50" s="20">
        <v>2300</v>
      </c>
    </row>
    <row r="51" spans="1:9" x14ac:dyDescent="0.2">
      <c r="A51" s="6" t="s">
        <v>252</v>
      </c>
      <c r="B51" s="6" t="s">
        <v>712</v>
      </c>
      <c r="C51" s="6" t="s">
        <v>875</v>
      </c>
      <c r="D51" s="6"/>
      <c r="E51" s="6" t="str">
        <f t="shared" si="0"/>
        <v>Crowther</v>
      </c>
      <c r="F51" s="6" t="s">
        <v>875</v>
      </c>
      <c r="G51" s="6" t="s">
        <v>47</v>
      </c>
      <c r="H51" s="6" t="s">
        <v>49</v>
      </c>
      <c r="I51" s="20">
        <v>2600</v>
      </c>
    </row>
    <row r="52" spans="1:9" x14ac:dyDescent="0.2">
      <c r="A52" s="6" t="s">
        <v>255</v>
      </c>
      <c r="B52" s="6" t="s">
        <v>876</v>
      </c>
      <c r="C52" s="6" t="s">
        <v>877</v>
      </c>
      <c r="D52" s="6"/>
      <c r="E52" s="6" t="str">
        <f t="shared" si="0"/>
        <v>Moncada</v>
      </c>
      <c r="F52" s="6" t="s">
        <v>877</v>
      </c>
      <c r="G52" s="6" t="s">
        <v>87</v>
      </c>
      <c r="H52" s="6" t="s">
        <v>10</v>
      </c>
      <c r="I52" s="20">
        <v>4500</v>
      </c>
    </row>
    <row r="53" spans="1:9" x14ac:dyDescent="0.2">
      <c r="A53" s="6" t="s">
        <v>258</v>
      </c>
      <c r="B53" s="6" t="s">
        <v>878</v>
      </c>
      <c r="C53" s="6" t="s">
        <v>879</v>
      </c>
      <c r="D53" s="6"/>
      <c r="E53" s="6" t="str">
        <f t="shared" si="0"/>
        <v>Fernández</v>
      </c>
      <c r="F53" s="6" t="s">
        <v>879</v>
      </c>
      <c r="G53" s="6" t="s">
        <v>39</v>
      </c>
      <c r="H53" s="6" t="s">
        <v>41</v>
      </c>
      <c r="I53" s="20">
        <v>9800</v>
      </c>
    </row>
    <row r="54" spans="1:9" x14ac:dyDescent="0.2">
      <c r="A54" s="6" t="s">
        <v>261</v>
      </c>
      <c r="B54" s="6" t="s">
        <v>880</v>
      </c>
      <c r="C54" s="6" t="s">
        <v>881</v>
      </c>
      <c r="D54" s="6"/>
      <c r="E54" s="6" t="str">
        <f t="shared" si="0"/>
        <v>Pipps</v>
      </c>
      <c r="F54" s="6" t="s">
        <v>881</v>
      </c>
      <c r="G54" s="6" t="s">
        <v>263</v>
      </c>
      <c r="H54" s="6" t="s">
        <v>122</v>
      </c>
      <c r="I54" s="20">
        <v>2300</v>
      </c>
    </row>
    <row r="55" spans="1:9" x14ac:dyDescent="0.2">
      <c r="A55" s="6" t="s">
        <v>265</v>
      </c>
      <c r="B55" s="6" t="s">
        <v>882</v>
      </c>
      <c r="C55" s="6" t="s">
        <v>883</v>
      </c>
      <c r="D55" s="6" t="s">
        <v>884</v>
      </c>
      <c r="E55" s="6" t="str">
        <f t="shared" si="0"/>
        <v>de Castro</v>
      </c>
      <c r="F55" s="6" t="s">
        <v>944</v>
      </c>
      <c r="G55" s="6" t="s">
        <v>152</v>
      </c>
      <c r="H55" s="6" t="s">
        <v>18</v>
      </c>
      <c r="I55" s="20">
        <v>1500</v>
      </c>
    </row>
    <row r="56" spans="1:9" x14ac:dyDescent="0.2">
      <c r="A56" s="6" t="s">
        <v>268</v>
      </c>
      <c r="B56" s="6" t="s">
        <v>885</v>
      </c>
      <c r="C56" s="6" t="s">
        <v>886</v>
      </c>
      <c r="D56" s="6"/>
      <c r="E56" s="6" t="str">
        <f t="shared" si="0"/>
        <v>Batista</v>
      </c>
      <c r="F56" s="6" t="s">
        <v>886</v>
      </c>
      <c r="G56" s="6" t="s">
        <v>178</v>
      </c>
      <c r="H56" s="6" t="s">
        <v>102</v>
      </c>
      <c r="I56" s="20">
        <v>4800</v>
      </c>
    </row>
    <row r="57" spans="1:9" x14ac:dyDescent="0.2">
      <c r="A57" s="6" t="s">
        <v>271</v>
      </c>
      <c r="B57" s="6" t="s">
        <v>887</v>
      </c>
      <c r="C57" s="6" t="s">
        <v>888</v>
      </c>
      <c r="D57" s="6"/>
      <c r="E57" s="6" t="str">
        <f t="shared" si="0"/>
        <v>Carvalho</v>
      </c>
      <c r="F57" s="6" t="s">
        <v>888</v>
      </c>
      <c r="G57" s="6" t="s">
        <v>100</v>
      </c>
      <c r="H57" s="6" t="s">
        <v>102</v>
      </c>
      <c r="I57" s="20">
        <v>98000</v>
      </c>
    </row>
    <row r="58" spans="1:9" x14ac:dyDescent="0.2">
      <c r="A58" s="6" t="s">
        <v>274</v>
      </c>
      <c r="B58" s="6" t="s">
        <v>889</v>
      </c>
      <c r="C58" s="6" t="s">
        <v>890</v>
      </c>
      <c r="D58" s="6"/>
      <c r="E58" s="6" t="str">
        <f t="shared" si="0"/>
        <v>Kloss</v>
      </c>
      <c r="F58" s="6" t="s">
        <v>890</v>
      </c>
      <c r="G58" s="6" t="s">
        <v>276</v>
      </c>
      <c r="H58" s="6" t="s">
        <v>35</v>
      </c>
      <c r="I58" s="20">
        <v>32000</v>
      </c>
    </row>
    <row r="59" spans="1:9" x14ac:dyDescent="0.2">
      <c r="A59" s="6" t="s">
        <v>278</v>
      </c>
      <c r="B59" s="6" t="s">
        <v>891</v>
      </c>
      <c r="C59" s="6" t="s">
        <v>892</v>
      </c>
      <c r="D59" s="6"/>
      <c r="E59" s="6" t="str">
        <f t="shared" si="0"/>
        <v>Gutiérrez</v>
      </c>
      <c r="F59" s="6" t="s">
        <v>892</v>
      </c>
      <c r="G59" s="6" t="s">
        <v>87</v>
      </c>
      <c r="H59" s="6" t="s">
        <v>10</v>
      </c>
      <c r="I59" s="20">
        <v>1500</v>
      </c>
    </row>
    <row r="60" spans="1:9" x14ac:dyDescent="0.2">
      <c r="A60" s="6" t="s">
        <v>280</v>
      </c>
      <c r="B60" s="6" t="s">
        <v>893</v>
      </c>
      <c r="C60" s="6" t="s">
        <v>866</v>
      </c>
      <c r="D60" s="6"/>
      <c r="E60" s="6" t="str">
        <f t="shared" si="0"/>
        <v>Wilson</v>
      </c>
      <c r="F60" s="6" t="s">
        <v>866</v>
      </c>
      <c r="G60" s="6" t="s">
        <v>283</v>
      </c>
      <c r="H60" s="6" t="s">
        <v>170</v>
      </c>
      <c r="I60" s="20">
        <v>871110</v>
      </c>
    </row>
    <row r="61" spans="1:9" x14ac:dyDescent="0.2">
      <c r="A61" s="6" t="s">
        <v>285</v>
      </c>
      <c r="B61" s="6" t="s">
        <v>894</v>
      </c>
      <c r="C61" s="6" t="s">
        <v>895</v>
      </c>
      <c r="D61" s="6"/>
      <c r="E61" s="6" t="str">
        <f t="shared" si="0"/>
        <v>Moroni</v>
      </c>
      <c r="F61" s="6" t="s">
        <v>895</v>
      </c>
      <c r="G61" s="6" t="s">
        <v>287</v>
      </c>
      <c r="H61" s="6" t="s">
        <v>149</v>
      </c>
      <c r="I61" s="20">
        <v>3200</v>
      </c>
    </row>
    <row r="62" spans="1:9" x14ac:dyDescent="0.2">
      <c r="A62" s="6" t="s">
        <v>289</v>
      </c>
      <c r="B62" s="6" t="s">
        <v>896</v>
      </c>
      <c r="C62" s="6" t="s">
        <v>897</v>
      </c>
      <c r="D62" s="6"/>
      <c r="E62" s="6" t="str">
        <f t="shared" si="0"/>
        <v>Limeira</v>
      </c>
      <c r="F62" s="6" t="s">
        <v>897</v>
      </c>
      <c r="G62" s="6" t="s">
        <v>178</v>
      </c>
      <c r="H62" s="6" t="s">
        <v>102</v>
      </c>
      <c r="I62" s="20">
        <v>98654</v>
      </c>
    </row>
    <row r="63" spans="1:9" x14ac:dyDescent="0.2">
      <c r="A63" s="6" t="s">
        <v>292</v>
      </c>
      <c r="B63" s="6" t="s">
        <v>898</v>
      </c>
      <c r="C63" s="6" t="s">
        <v>899</v>
      </c>
      <c r="D63" s="6"/>
      <c r="E63" s="6" t="str">
        <f t="shared" si="0"/>
        <v>Holz</v>
      </c>
      <c r="F63" s="6" t="s">
        <v>899</v>
      </c>
      <c r="G63" s="6" t="s">
        <v>294</v>
      </c>
      <c r="H63" s="6" t="s">
        <v>96</v>
      </c>
      <c r="I63" s="20">
        <v>45665</v>
      </c>
    </row>
    <row r="64" spans="1:9" x14ac:dyDescent="0.2">
      <c r="A64" s="6" t="s">
        <v>296</v>
      </c>
      <c r="B64" s="6" t="s">
        <v>900</v>
      </c>
      <c r="C64" s="6" t="s">
        <v>901</v>
      </c>
      <c r="D64" s="6"/>
      <c r="E64" s="6" t="str">
        <f t="shared" si="0"/>
        <v>Camino</v>
      </c>
      <c r="F64" s="6" t="s">
        <v>901</v>
      </c>
      <c r="G64" s="6" t="s">
        <v>68</v>
      </c>
      <c r="H64" s="6" t="s">
        <v>70</v>
      </c>
      <c r="I64" s="20">
        <v>32150</v>
      </c>
    </row>
    <row r="65" spans="1:9" x14ac:dyDescent="0.2">
      <c r="A65" s="6" t="s">
        <v>299</v>
      </c>
      <c r="B65" s="6" t="s">
        <v>902</v>
      </c>
      <c r="C65" s="6" t="s">
        <v>903</v>
      </c>
      <c r="D65" s="6"/>
      <c r="E65" s="6" t="str">
        <f t="shared" si="0"/>
        <v>Bergulfsen</v>
      </c>
      <c r="F65" s="6" t="s">
        <v>903</v>
      </c>
      <c r="G65" s="6" t="s">
        <v>301</v>
      </c>
      <c r="H65" s="6" t="s">
        <v>303</v>
      </c>
      <c r="I65" s="20">
        <v>6500</v>
      </c>
    </row>
    <row r="66" spans="1:9" x14ac:dyDescent="0.2">
      <c r="A66" s="6" t="s">
        <v>304</v>
      </c>
      <c r="B66" s="6" t="s">
        <v>904</v>
      </c>
      <c r="C66" s="6" t="s">
        <v>905</v>
      </c>
      <c r="D66" s="6"/>
      <c r="E66" s="6" t="str">
        <f t="shared" si="0"/>
        <v>Pavarotti</v>
      </c>
      <c r="F66" s="6" t="s">
        <v>905</v>
      </c>
      <c r="G66" s="6" t="s">
        <v>372</v>
      </c>
      <c r="H66" s="6" t="s">
        <v>170</v>
      </c>
      <c r="I66" s="20">
        <v>9800</v>
      </c>
    </row>
    <row r="67" spans="1:9" x14ac:dyDescent="0.2">
      <c r="A67" s="6" t="s">
        <v>307</v>
      </c>
      <c r="B67" s="6" t="s">
        <v>906</v>
      </c>
      <c r="C67" s="6" t="s">
        <v>907</v>
      </c>
      <c r="D67" s="6"/>
      <c r="E67" s="6" t="str">
        <f t="shared" ref="E67:E85" si="1">TRIM(_xlfn.CONCAT(C67," ",D67))</f>
        <v>Kumar</v>
      </c>
      <c r="F67" s="6" t="s">
        <v>907</v>
      </c>
      <c r="G67" s="6" t="s">
        <v>47</v>
      </c>
      <c r="H67" s="6" t="s">
        <v>49</v>
      </c>
      <c r="I67" s="20">
        <v>7800</v>
      </c>
    </row>
    <row r="68" spans="1:9" x14ac:dyDescent="0.2">
      <c r="A68" s="6" t="s">
        <v>310</v>
      </c>
      <c r="B68" s="6" t="s">
        <v>908</v>
      </c>
      <c r="C68" s="6" t="s">
        <v>909</v>
      </c>
      <c r="D68" s="6"/>
      <c r="E68" s="6" t="str">
        <f t="shared" si="1"/>
        <v>Petersen</v>
      </c>
      <c r="F68" s="6" t="s">
        <v>909</v>
      </c>
      <c r="G68" s="6" t="s">
        <v>312</v>
      </c>
      <c r="H68" s="6" t="s">
        <v>314</v>
      </c>
      <c r="I68" s="20">
        <v>9800</v>
      </c>
    </row>
    <row r="69" spans="1:9" x14ac:dyDescent="0.2">
      <c r="A69" s="6" t="s">
        <v>315</v>
      </c>
      <c r="B69" s="6" t="s">
        <v>910</v>
      </c>
      <c r="C69" s="6" t="s">
        <v>911</v>
      </c>
      <c r="D69" s="6"/>
      <c r="E69" s="6" t="str">
        <f t="shared" si="1"/>
        <v>Perrier</v>
      </c>
      <c r="F69" s="6" t="s">
        <v>911</v>
      </c>
      <c r="G69" s="6" t="s">
        <v>257</v>
      </c>
      <c r="H69" s="6" t="s">
        <v>65</v>
      </c>
      <c r="I69" s="20">
        <v>65420</v>
      </c>
    </row>
    <row r="70" spans="1:9" x14ac:dyDescent="0.2">
      <c r="A70" s="6" t="s">
        <v>318</v>
      </c>
      <c r="B70" s="6" t="s">
        <v>912</v>
      </c>
      <c r="C70" s="6" t="s">
        <v>913</v>
      </c>
      <c r="D70" s="6"/>
      <c r="E70" s="6" t="str">
        <f t="shared" si="1"/>
        <v>Braunschweiger</v>
      </c>
      <c r="F70" s="6" t="s">
        <v>913</v>
      </c>
      <c r="G70" s="6" t="s">
        <v>372</v>
      </c>
      <c r="H70" s="6" t="s">
        <v>170</v>
      </c>
      <c r="I70" s="20">
        <v>32550</v>
      </c>
    </row>
    <row r="71" spans="1:9" x14ac:dyDescent="0.2">
      <c r="A71" s="6" t="s">
        <v>321</v>
      </c>
      <c r="B71" s="6" t="s">
        <v>914</v>
      </c>
      <c r="C71" s="6" t="s">
        <v>915</v>
      </c>
      <c r="D71" s="6"/>
      <c r="E71" s="6" t="str">
        <f t="shared" si="1"/>
        <v>Cartrain</v>
      </c>
      <c r="F71" s="6" t="s">
        <v>915</v>
      </c>
      <c r="G71" s="6" t="s">
        <v>323</v>
      </c>
      <c r="H71" s="6" t="s">
        <v>243</v>
      </c>
      <c r="I71" s="20">
        <v>3200</v>
      </c>
    </row>
    <row r="72" spans="1:9" x14ac:dyDescent="0.2">
      <c r="A72" s="6" t="s">
        <v>325</v>
      </c>
      <c r="B72" s="6" t="s">
        <v>916</v>
      </c>
      <c r="C72" s="6" t="s">
        <v>917</v>
      </c>
      <c r="D72" s="6"/>
      <c r="E72" s="6" t="str">
        <f t="shared" si="1"/>
        <v>Nixon</v>
      </c>
      <c r="F72" s="6" t="s">
        <v>917</v>
      </c>
      <c r="G72" s="6" t="s">
        <v>233</v>
      </c>
      <c r="H72" s="6" t="s">
        <v>170</v>
      </c>
      <c r="I72" s="20">
        <v>6500</v>
      </c>
    </row>
    <row r="73" spans="1:9" x14ac:dyDescent="0.2">
      <c r="A73" s="6" t="s">
        <v>328</v>
      </c>
      <c r="B73" s="6" t="s">
        <v>918</v>
      </c>
      <c r="C73" s="6" t="s">
        <v>919</v>
      </c>
      <c r="D73" s="6"/>
      <c r="E73" s="6" t="str">
        <f t="shared" si="1"/>
        <v>Wong</v>
      </c>
      <c r="F73" s="6" t="s">
        <v>919</v>
      </c>
      <c r="G73" s="6" t="s">
        <v>330</v>
      </c>
      <c r="H73" s="6" t="s">
        <v>170</v>
      </c>
      <c r="I73" s="20">
        <v>4000</v>
      </c>
    </row>
    <row r="74" spans="1:9" x14ac:dyDescent="0.2">
      <c r="A74" s="6" t="s">
        <v>332</v>
      </c>
      <c r="B74" s="6" t="s">
        <v>920</v>
      </c>
      <c r="C74" s="6" t="s">
        <v>921</v>
      </c>
      <c r="D74" s="6"/>
      <c r="E74" s="6" t="str">
        <f t="shared" si="1"/>
        <v>Josephs</v>
      </c>
      <c r="F74" s="6" t="s">
        <v>921</v>
      </c>
      <c r="G74" s="6" t="s">
        <v>334</v>
      </c>
      <c r="H74" s="6" t="s">
        <v>35</v>
      </c>
      <c r="I74" s="20">
        <v>9800</v>
      </c>
    </row>
    <row r="75" spans="1:9" x14ac:dyDescent="0.2">
      <c r="A75" s="6" t="s">
        <v>336</v>
      </c>
      <c r="B75" s="6" t="s">
        <v>922</v>
      </c>
      <c r="C75" s="6" t="s">
        <v>923</v>
      </c>
      <c r="D75" s="6" t="s">
        <v>924</v>
      </c>
      <c r="E75" s="6" t="str">
        <f t="shared" si="1"/>
        <v>Angel Paolino</v>
      </c>
      <c r="F75" s="6" t="s">
        <v>945</v>
      </c>
      <c r="G75" s="6" t="s">
        <v>39</v>
      </c>
      <c r="H75" s="6" t="s">
        <v>41</v>
      </c>
      <c r="I75" s="20">
        <v>4500</v>
      </c>
    </row>
    <row r="76" spans="1:9" x14ac:dyDescent="0.2">
      <c r="A76" s="6" t="s">
        <v>338</v>
      </c>
      <c r="B76" s="6" t="s">
        <v>925</v>
      </c>
      <c r="C76" s="6" t="s">
        <v>926</v>
      </c>
      <c r="D76" s="6"/>
      <c r="E76" s="6" t="str">
        <f t="shared" si="1"/>
        <v>Domingues</v>
      </c>
      <c r="F76" s="6" t="s">
        <v>926</v>
      </c>
      <c r="G76" s="6" t="s">
        <v>100</v>
      </c>
      <c r="H76" s="6" t="s">
        <v>102</v>
      </c>
      <c r="I76" s="20">
        <v>87540</v>
      </c>
    </row>
    <row r="77" spans="1:9" ht="25.5" x14ac:dyDescent="0.2">
      <c r="A77" s="6" t="s">
        <v>341</v>
      </c>
      <c r="B77" s="6" t="s">
        <v>927</v>
      </c>
      <c r="C77" s="6" t="s">
        <v>928</v>
      </c>
      <c r="D77" s="6"/>
      <c r="E77" s="6" t="str">
        <f t="shared" si="1"/>
        <v>Nagy</v>
      </c>
      <c r="F77" s="6" t="s">
        <v>928</v>
      </c>
      <c r="G77" s="6" t="s">
        <v>343</v>
      </c>
      <c r="H77" s="6" t="s">
        <v>170</v>
      </c>
      <c r="I77" s="20">
        <v>32000</v>
      </c>
    </row>
    <row r="78" spans="1:9" x14ac:dyDescent="0.2">
      <c r="A78" s="6" t="s">
        <v>345</v>
      </c>
      <c r="B78" s="6" t="s">
        <v>929</v>
      </c>
      <c r="C78" s="6" t="s">
        <v>930</v>
      </c>
      <c r="D78" s="6"/>
      <c r="E78" s="6" t="str">
        <f t="shared" si="1"/>
        <v>Ibsen</v>
      </c>
      <c r="F78" s="6" t="s">
        <v>930</v>
      </c>
      <c r="G78" s="6" t="s">
        <v>347</v>
      </c>
      <c r="H78" s="6" t="s">
        <v>314</v>
      </c>
      <c r="I78" s="20">
        <v>65000</v>
      </c>
    </row>
    <row r="79" spans="1:9" x14ac:dyDescent="0.2">
      <c r="A79" s="6" t="s">
        <v>361</v>
      </c>
      <c r="B79" s="6" t="s">
        <v>931</v>
      </c>
      <c r="C79" s="6" t="s">
        <v>932</v>
      </c>
      <c r="D79" s="6"/>
      <c r="E79" s="6" t="str">
        <f t="shared" si="1"/>
        <v>Koskitalo</v>
      </c>
      <c r="F79" s="6" t="s">
        <v>932</v>
      </c>
      <c r="G79" s="6" t="s">
        <v>363</v>
      </c>
      <c r="H79" s="6" t="s">
        <v>365</v>
      </c>
      <c r="I79" s="20">
        <v>9870</v>
      </c>
    </row>
    <row r="80" spans="1:9" x14ac:dyDescent="0.2">
      <c r="A80" s="6" t="s">
        <v>366</v>
      </c>
      <c r="B80" s="6" t="s">
        <v>893</v>
      </c>
      <c r="C80" s="6" t="s">
        <v>933</v>
      </c>
      <c r="D80" s="6"/>
      <c r="E80" s="6" t="str">
        <f t="shared" si="1"/>
        <v>Parente</v>
      </c>
      <c r="F80" s="6" t="s">
        <v>933</v>
      </c>
      <c r="G80" s="6" t="s">
        <v>368</v>
      </c>
      <c r="H80" s="6" t="s">
        <v>102</v>
      </c>
      <c r="I80" s="20">
        <v>8000</v>
      </c>
    </row>
    <row r="81" spans="1:9" x14ac:dyDescent="0.2">
      <c r="A81" s="6" t="s">
        <v>370</v>
      </c>
      <c r="B81" s="6" t="s">
        <v>608</v>
      </c>
      <c r="C81" s="6" t="s">
        <v>934</v>
      </c>
      <c r="D81" s="6"/>
      <c r="E81" s="6" t="str">
        <f t="shared" si="1"/>
        <v>Jablonski</v>
      </c>
      <c r="F81" s="6" t="s">
        <v>934</v>
      </c>
      <c r="G81" s="6" t="s">
        <v>372</v>
      </c>
      <c r="H81" s="6" t="s">
        <v>170</v>
      </c>
      <c r="I81" s="20">
        <v>32000</v>
      </c>
    </row>
    <row r="82" spans="1:9" x14ac:dyDescent="0.2">
      <c r="A82" s="6" t="s">
        <v>349</v>
      </c>
      <c r="B82" s="6" t="s">
        <v>935</v>
      </c>
      <c r="C82" s="6" t="s">
        <v>936</v>
      </c>
      <c r="D82" s="6"/>
      <c r="E82" s="6" t="str">
        <f t="shared" si="1"/>
        <v>Saveley</v>
      </c>
      <c r="F82" s="6" t="s">
        <v>936</v>
      </c>
      <c r="G82" s="6" t="s">
        <v>351</v>
      </c>
      <c r="H82" s="6" t="s">
        <v>65</v>
      </c>
      <c r="I82" s="20">
        <v>9800</v>
      </c>
    </row>
    <row r="83" spans="1:9" x14ac:dyDescent="0.2">
      <c r="A83" s="6" t="s">
        <v>374</v>
      </c>
      <c r="B83" s="6" t="s">
        <v>937</v>
      </c>
      <c r="C83" s="6" t="s">
        <v>938</v>
      </c>
      <c r="D83" s="6"/>
      <c r="E83" s="6" t="str">
        <f t="shared" si="1"/>
        <v>Karttunen</v>
      </c>
      <c r="F83" s="6" t="s">
        <v>938</v>
      </c>
      <c r="G83" s="6" t="s">
        <v>377</v>
      </c>
      <c r="H83" s="6" t="s">
        <v>365</v>
      </c>
      <c r="I83" s="20">
        <v>4500</v>
      </c>
    </row>
    <row r="84" spans="1:9" x14ac:dyDescent="0.2">
      <c r="A84" s="6" t="s">
        <v>353</v>
      </c>
      <c r="B84" s="6" t="s">
        <v>939</v>
      </c>
      <c r="C84" s="6" t="s">
        <v>940</v>
      </c>
      <c r="D84" s="6"/>
      <c r="E84" s="6" t="str">
        <f t="shared" si="1"/>
        <v>Henriot</v>
      </c>
      <c r="F84" s="6" t="s">
        <v>940</v>
      </c>
      <c r="G84" s="6" t="s">
        <v>355</v>
      </c>
      <c r="H84" s="6" t="s">
        <v>65</v>
      </c>
      <c r="I84" s="20">
        <v>45000</v>
      </c>
    </row>
    <row r="85" spans="1:9" x14ac:dyDescent="0.2">
      <c r="A85" s="6" t="s">
        <v>379</v>
      </c>
      <c r="B85" s="6" t="s">
        <v>941</v>
      </c>
      <c r="C85" s="6" t="s">
        <v>942</v>
      </c>
      <c r="D85" s="6"/>
      <c r="E85" s="6" t="str">
        <f t="shared" si="1"/>
        <v>Piestrzeniewicz</v>
      </c>
      <c r="F85" s="6" t="s">
        <v>942</v>
      </c>
      <c r="G85" s="6" t="s">
        <v>381</v>
      </c>
      <c r="H85" s="6" t="s">
        <v>383</v>
      </c>
      <c r="I85" s="20">
        <v>65000</v>
      </c>
    </row>
  </sheetData>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7"/>
  <dimension ref="A1:H17"/>
  <sheetViews>
    <sheetView tabSelected="1" workbookViewId="0">
      <selection activeCell="D3" sqref="D3"/>
    </sheetView>
  </sheetViews>
  <sheetFormatPr defaultRowHeight="15" x14ac:dyDescent="0.2"/>
  <cols>
    <col min="1" max="1" width="27.7109375" style="24" bestFit="1" customWidth="1"/>
    <col min="2" max="2" width="15.42578125" style="24" bestFit="1" customWidth="1"/>
    <col min="3" max="3" width="9.85546875" style="24" bestFit="1" customWidth="1"/>
    <col min="4" max="4" width="11.5703125" style="24" bestFit="1" customWidth="1"/>
    <col min="5" max="5" width="14.5703125" style="24" bestFit="1" customWidth="1"/>
    <col min="6" max="7" width="9.140625" style="24"/>
    <col min="8" max="8" width="28.28515625" style="24" bestFit="1" customWidth="1"/>
    <col min="9" max="16384" width="9.140625" style="24"/>
  </cols>
  <sheetData>
    <row r="1" spans="1:8" ht="20.25" x14ac:dyDescent="0.3">
      <c r="A1" s="86" t="s">
        <v>392</v>
      </c>
      <c r="B1" s="19">
        <v>35000</v>
      </c>
    </row>
    <row r="2" spans="1:8" ht="23.25" x14ac:dyDescent="0.35">
      <c r="A2" s="85" t="s">
        <v>393</v>
      </c>
      <c r="B2" s="25">
        <v>0.3</v>
      </c>
      <c r="E2" s="53"/>
    </row>
    <row r="3" spans="1:8" ht="20.25" x14ac:dyDescent="0.3">
      <c r="A3" s="85" t="s">
        <v>394</v>
      </c>
      <c r="B3" s="19"/>
    </row>
    <row r="4" spans="1:8" ht="20.25" x14ac:dyDescent="0.3">
      <c r="A4" s="85" t="s">
        <v>395</v>
      </c>
      <c r="B4" s="19">
        <f>B1-B3</f>
        <v>35000</v>
      </c>
    </row>
    <row r="5" spans="1:8" ht="20.25" x14ac:dyDescent="0.3">
      <c r="A5" s="87"/>
      <c r="H5" s="28"/>
    </row>
    <row r="6" spans="1:8" ht="20.25" x14ac:dyDescent="0.3">
      <c r="A6" s="85" t="s">
        <v>423</v>
      </c>
      <c r="B6" s="29" t="s">
        <v>427</v>
      </c>
      <c r="C6" s="29" t="s">
        <v>428</v>
      </c>
      <c r="D6" s="29" t="s">
        <v>429</v>
      </c>
    </row>
    <row r="7" spans="1:8" ht="20.25" x14ac:dyDescent="0.3">
      <c r="A7" s="85" t="s">
        <v>424</v>
      </c>
      <c r="B7" s="24">
        <v>4.3</v>
      </c>
      <c r="C7" s="24">
        <v>8.6999999999999993</v>
      </c>
      <c r="D7" s="24">
        <v>880</v>
      </c>
    </row>
    <row r="8" spans="1:8" ht="20.25" x14ac:dyDescent="0.3">
      <c r="A8" s="85" t="s">
        <v>425</v>
      </c>
      <c r="B8" s="24">
        <v>95000</v>
      </c>
      <c r="C8" s="24">
        <v>95000</v>
      </c>
      <c r="D8" s="24">
        <v>95000</v>
      </c>
    </row>
    <row r="9" spans="1:8" ht="20.25" x14ac:dyDescent="0.3">
      <c r="A9" s="85" t="s">
        <v>426</v>
      </c>
      <c r="B9" s="27" cm="1">
        <f t="array" ref="B9">Restid(B7,B8)</f>
        <v>48884.210526315786</v>
      </c>
      <c r="C9" s="27" cm="1">
        <f t="array" ref="C9">Restid(C7,C8)</f>
        <v>98905.263157894733</v>
      </c>
      <c r="D9" s="27" cm="1">
        <f t="array" ref="D9">Restid(D7,D8)</f>
        <v>10004210.52631579</v>
      </c>
      <c r="E9" s="54"/>
    </row>
    <row r="10" spans="1:8" ht="15.75" thickBot="1" x14ac:dyDescent="0.25">
      <c r="A10" s="26"/>
      <c r="B10" s="26"/>
      <c r="C10" s="26"/>
      <c r="D10" s="26"/>
    </row>
    <row r="12" spans="1:8" ht="20.25" x14ac:dyDescent="0.3">
      <c r="A12" s="28" t="s">
        <v>392</v>
      </c>
      <c r="B12" s="24">
        <v>50000</v>
      </c>
    </row>
    <row r="13" spans="1:8" ht="20.25" x14ac:dyDescent="0.3">
      <c r="A13" s="28" t="s">
        <v>393</v>
      </c>
      <c r="B13" s="24">
        <v>0.3</v>
      </c>
    </row>
    <row r="14" spans="1:8" ht="20.25" x14ac:dyDescent="0.3">
      <c r="A14" s="28"/>
    </row>
    <row r="15" spans="1:8" ht="20.25" x14ac:dyDescent="0.3">
      <c r="A15" s="28" t="s">
        <v>430</v>
      </c>
      <c r="B15" s="19"/>
    </row>
    <row r="16" spans="1:8" ht="20.25" x14ac:dyDescent="0.3">
      <c r="A16" s="28" t="s">
        <v>395</v>
      </c>
      <c r="B16" s="19"/>
    </row>
    <row r="17" spans="1:2" ht="20.25" x14ac:dyDescent="0.3">
      <c r="A17" s="28" t="s">
        <v>431</v>
      </c>
      <c r="B17" s="25"/>
    </row>
  </sheetData>
  <phoneticPr fontId="2" type="noConversion"/>
  <pageMargins left="0.75" right="0.75" top="1" bottom="1" header="0.5" footer="0.5"/>
  <pageSetup paperSize="9" orientation="portrait" horizontalDpi="4294967295" verticalDpi="4294967295"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AD1BAC83506E7849915E1D1E16B7B959" ma:contentTypeVersion="0" ma:contentTypeDescription="Skapa ett nytt dokument." ma:contentTypeScope="" ma:versionID="368cdf874cad21693ac4b3ec362d91c9">
  <xsd:schema xmlns:xsd="http://www.w3.org/2001/XMLSchema" xmlns:xs="http://www.w3.org/2001/XMLSchema" xmlns:p="http://schemas.microsoft.com/office/2006/metadata/properties" targetNamespace="http://schemas.microsoft.com/office/2006/metadata/properties" ma:root="true" ma:fieldsID="bade48cf887c4a11d8b0dcfd650b574e">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nehållstyp"/>
        <xsd:element ref="dc:title" minOccurs="0" maxOccurs="1" ma:index="4" ma:displayName="Rubri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15351EF-26C0-4D37-A72B-905820AA7B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1CF596F-2EF7-4F8A-94A4-5242280B3BB8}">
  <ds:schemaRefs>
    <ds:schemaRef ds:uri="http://schemas.microsoft.com/sharepoint/v3/contenttype/forms"/>
  </ds:schemaRefs>
</ds:datastoreItem>
</file>

<file path=customXml/itemProps3.xml><?xml version="1.0" encoding="utf-8"?>
<ds:datastoreItem xmlns:ds="http://schemas.openxmlformats.org/officeDocument/2006/customXml" ds:itemID="{FDF21FEF-3DDC-4762-BFC5-1E397143190B}">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14</vt:i4>
      </vt:variant>
      <vt:variant>
        <vt:lpstr>Charts</vt:lpstr>
      </vt:variant>
      <vt:variant>
        <vt:i4>1</vt:i4>
      </vt:variant>
      <vt:variant>
        <vt:lpstr>Named Ranges</vt:lpstr>
      </vt:variant>
      <vt:variant>
        <vt:i4>3</vt:i4>
      </vt:variant>
    </vt:vector>
  </HeadingPairs>
  <TitlesOfParts>
    <vt:vector size="18" baseType="lpstr">
      <vt:lpstr>Filter och sortering</vt:lpstr>
      <vt:lpstr>Avancerat filter</vt:lpstr>
      <vt:lpstr>Delsummor inbyggd</vt:lpstr>
      <vt:lpstr>Delsummor funktion</vt:lpstr>
      <vt:lpstr>Pivot med beräkningar</vt:lpstr>
      <vt:lpstr>Kvartalspivot</vt:lpstr>
      <vt:lpstr>Diagramunderlag</vt:lpstr>
      <vt:lpstr>Dataunderlag Pivot tabell</vt:lpstr>
      <vt:lpstr>Kundlista1</vt:lpstr>
      <vt:lpstr>Kundlista2</vt:lpstr>
      <vt:lpstr>Logisk och Funktion i funktion</vt:lpstr>
      <vt:lpstr>Databasfunktion</vt:lpstr>
      <vt:lpstr>Dela kolumn</vt:lpstr>
      <vt:lpstr>Egna funktioner och procedurer</vt:lpstr>
      <vt:lpstr>Pivotdiagram</vt:lpstr>
      <vt:lpstr>Databasfunktion!Criteria</vt:lpstr>
      <vt:lpstr>'Avancerat filter'!Extract</vt:lpstr>
      <vt:lpstr>Kundlista2!Extract</vt:lpstr>
    </vt:vector>
  </TitlesOfParts>
  <Company>SDB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dc:creator>
  <cp:lastModifiedBy>Daniel Frykman</cp:lastModifiedBy>
  <dcterms:created xsi:type="dcterms:W3CDTF">2002-06-24T04:20:34Z</dcterms:created>
  <dcterms:modified xsi:type="dcterms:W3CDTF">2021-02-24T14:54:18Z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0x010100AD1BAC83506E7849915E1D1E16B7B959</vt:lpwstr>
  </property>
</Properties>
</file>

<file path=userCustomization/customUI.xml><?xml version="1.0" encoding="utf-8"?>
<mso:customUI xmlns:doc="http://schemas.microsoft.com/office/2006/01/customui/currentDocument" xmlns:mso="http://schemas.microsoft.com/office/2006/01/customui">
  <mso:ribbon>
    <mso:qat>
      <mso:documentControls>
        <mso:button idQ="doc:Eget_Format_1" visible="true" label="Eget cellformat" imageMso="CondolatoryEvent" onAction="Eget_Format"/>
      </mso:documentControls>
    </mso:qat>
  </mso:ribbon>
</mso:customUI>
</file>