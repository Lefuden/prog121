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og121-my.sharepoint.com/personal/daniel_f_prog121_onmicrosoft_com/Documents/VBA/Övningar vecka 1/"/>
    </mc:Choice>
  </mc:AlternateContent>
  <xr:revisionPtr revIDLastSave="2" documentId="13_ncr:1_{3A9111F4-3291-4A09-9575-8FB9F373C8CC}" xr6:coauthVersionLast="46" xr6:coauthVersionMax="46" xr10:uidLastSave="{4232A249-C102-420F-B48E-2B32AD721C93}"/>
  <bookViews>
    <workbookView xWindow="-120" yWindow="-120" windowWidth="29040" windowHeight="16440" activeTab="3" xr2:uid="{C19DA070-B468-4EC7-A9F5-E6143D7BA2A9}"/>
  </bookViews>
  <sheets>
    <sheet name="Funktion resekostnad" sheetId="1" r:id="rId1"/>
    <sheet name="Funktion land" sheetId="3" r:id="rId2"/>
    <sheet name="Procedur Projekt" sheetId="2" r:id="rId3"/>
    <sheet name="Procedur Resultat" sheetId="4" r:id="rId4"/>
  </sheets>
  <functionGroups builtInGroupCount="19"/>
  <definedNames>
    <definedName name="_xlnm._FilterDatabase" localSheetId="1" hidden="1">'Funktion land'!$A$1:$C$85</definedName>
    <definedName name="_xlnm.Extract" localSheetId="1">'Funktion land'!#REF!</definedName>
    <definedName name="Lön_Kostn_st">#REF!</definedName>
    <definedName name="Mtrl_Kostn_st">#REF!</definedName>
    <definedName name="Övr_Rörl_Kostn">#REF!</definedName>
    <definedName name="Pris_st">#REF!</definedName>
    <definedName name="Sålt_antal">#REF!</definedName>
    <definedName name="Sum_Int">#REF!</definedName>
    <definedName name="Sum_Kostn">#REF!</definedName>
    <definedName name="TB_st">#REF!</definedName>
    <definedName name="TB_total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14" i="3" a="1"/>
  <c r="D22" i="3" a="1"/>
  <c r="D26" i="3" a="1"/>
  <c r="D34" i="3" a="1"/>
  <c r="D46" i="3" a="1"/>
  <c r="D50" i="3" a="1"/>
  <c r="D62" i="3" a="1"/>
  <c r="D70" i="3" a="1"/>
  <c r="D78" i="3" a="1"/>
  <c r="D11" i="3" a="1"/>
  <c r="D23" i="3" a="1"/>
  <c r="D31" i="3" a="1"/>
  <c r="D39" i="3" a="1"/>
  <c r="D47" i="3" a="1"/>
  <c r="D59" i="3" a="1"/>
  <c r="D71" i="3" a="1"/>
  <c r="D60" i="3" a="1"/>
  <c r="D3" i="3" a="1"/>
  <c r="D7" i="3" a="1"/>
  <c r="D55" i="3" a="1"/>
  <c r="D67" i="3" a="1"/>
  <c r="D64" i="3" a="1"/>
  <c r="D24" i="3" a="1"/>
  <c r="D56" i="3" a="1"/>
  <c r="D84" i="3" a="1"/>
  <c r="D4" i="3" a="1"/>
  <c r="D8" i="3" a="1"/>
  <c r="D12" i="3" a="1"/>
  <c r="D16" i="3" a="1"/>
  <c r="D20" i="3" a="1"/>
  <c r="D28" i="3" a="1"/>
  <c r="D32" i="3" a="1"/>
  <c r="D36" i="3" a="1"/>
  <c r="D40" i="3" a="1"/>
  <c r="D44" i="3" a="1"/>
  <c r="D48" i="3" a="1"/>
  <c r="D52" i="3" a="1"/>
  <c r="D76" i="3" a="1"/>
  <c r="D5" i="3" a="1"/>
  <c r="D77" i="3" a="1"/>
  <c r="D83" i="3" a="1"/>
  <c r="D80" i="3" a="1"/>
  <c r="D9" i="3" a="1"/>
  <c r="D13" i="3" a="1"/>
  <c r="D17" i="3" a="1"/>
  <c r="D21" i="3" a="1"/>
  <c r="D25" i="3" a="1"/>
  <c r="D29" i="3" a="1"/>
  <c r="D33" i="3" a="1"/>
  <c r="D37" i="3" a="1"/>
  <c r="D41" i="3" a="1"/>
  <c r="D45" i="3" a="1"/>
  <c r="D49" i="3" a="1"/>
  <c r="D53" i="3" a="1"/>
  <c r="D57" i="3" a="1"/>
  <c r="D61" i="3" a="1"/>
  <c r="D65" i="3" a="1"/>
  <c r="D69" i="3" a="1"/>
  <c r="D73" i="3" a="1"/>
  <c r="D81" i="3" a="1"/>
  <c r="D85" i="3" a="1"/>
  <c r="D79" i="3" a="1"/>
  <c r="D72" i="3" a="1"/>
  <c r="D6" i="3" a="1"/>
  <c r="D10" i="3" a="1"/>
  <c r="D18" i="3" a="1"/>
  <c r="D30" i="3" a="1"/>
  <c r="D38" i="3" a="1"/>
  <c r="D42" i="3" a="1"/>
  <c r="D54" i="3" a="1"/>
  <c r="D58" i="3" a="1"/>
  <c r="D66" i="3" a="1"/>
  <c r="D74" i="3" a="1"/>
  <c r="D82" i="3" a="1"/>
  <c r="D15" i="3" a="1"/>
  <c r="D19" i="3" a="1"/>
  <c r="D27" i="3" a="1"/>
  <c r="D35" i="3" a="1"/>
  <c r="D43" i="3" a="1"/>
  <c r="D51" i="3" a="1"/>
  <c r="D63" i="3" a="1"/>
  <c r="D75" i="3" a="1"/>
  <c r="D68" i="3" a="1"/>
  <c r="B6" i="1" a="1"/>
  <c r="D68" i="3" l="1"/>
  <c r="D75" i="3"/>
  <c r="D63" i="3"/>
  <c r="D51" i="3"/>
  <c r="D43" i="3"/>
  <c r="D35" i="3"/>
  <c r="D27" i="3"/>
  <c r="D19" i="3"/>
  <c r="D15" i="3"/>
  <c r="D82" i="3"/>
  <c r="D74" i="3"/>
  <c r="D66" i="3"/>
  <c r="D58" i="3"/>
  <c r="D54" i="3"/>
  <c r="D42" i="3"/>
  <c r="D38" i="3"/>
  <c r="D30" i="3"/>
  <c r="D18" i="3"/>
  <c r="D10" i="3"/>
  <c r="D6" i="3"/>
  <c r="D72" i="3"/>
  <c r="D79" i="3"/>
  <c r="D85" i="3"/>
  <c r="D81" i="3"/>
  <c r="D73" i="3"/>
  <c r="D69" i="3"/>
  <c r="D65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80" i="3"/>
  <c r="D83" i="3"/>
  <c r="D77" i="3"/>
  <c r="D5" i="3"/>
  <c r="D76" i="3"/>
  <c r="D52" i="3"/>
  <c r="D48" i="3"/>
  <c r="D44" i="3"/>
  <c r="D40" i="3"/>
  <c r="D36" i="3"/>
  <c r="D32" i="3"/>
  <c r="D28" i="3"/>
  <c r="D20" i="3"/>
  <c r="D16" i="3"/>
  <c r="D12" i="3"/>
  <c r="D8" i="3"/>
  <c r="D4" i="3"/>
  <c r="D84" i="3"/>
  <c r="D56" i="3"/>
  <c r="D24" i="3"/>
  <c r="D64" i="3"/>
  <c r="D67" i="3"/>
  <c r="D55" i="3"/>
  <c r="D7" i="3"/>
  <c r="D3" i="3"/>
  <c r="D60" i="3"/>
  <c r="D71" i="3"/>
  <c r="D59" i="3"/>
  <c r="D47" i="3"/>
  <c r="D39" i="3"/>
  <c r="D31" i="3"/>
  <c r="D23" i="3"/>
  <c r="D11" i="3"/>
  <c r="D78" i="3"/>
  <c r="D70" i="3"/>
  <c r="D62" i="3"/>
  <c r="D50" i="3"/>
  <c r="D46" i="3"/>
  <c r="D34" i="3"/>
  <c r="D26" i="3"/>
  <c r="D22" i="3"/>
  <c r="D14" i="3"/>
  <c r="D2" i="3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<sst xmlns="http://schemas.openxmlformats.org/spreadsheetml/2006/main" count="194" uniqueCount="131">
  <si>
    <t>Resa</t>
  </si>
  <si>
    <t>Hotell</t>
  </si>
  <si>
    <t>Mat</t>
  </si>
  <si>
    <t>Kostnad</t>
  </si>
  <si>
    <t>Företag</t>
  </si>
  <si>
    <t>Land</t>
  </si>
  <si>
    <t>Ordervärde</t>
  </si>
  <si>
    <t>Moms</t>
  </si>
  <si>
    <t>Alfreds Futterkiste</t>
  </si>
  <si>
    <t>Germany</t>
  </si>
  <si>
    <t>Ana Trujillo Emparedados y helados</t>
  </si>
  <si>
    <t>Mexico</t>
  </si>
  <si>
    <t>Antonio Moreno Taquería</t>
  </si>
  <si>
    <t>Around the Horn</t>
  </si>
  <si>
    <t>UK</t>
  </si>
  <si>
    <t>Berglunds snabbköp</t>
  </si>
  <si>
    <t>Sweden</t>
  </si>
  <si>
    <t>Blauer See Delikatessen</t>
  </si>
  <si>
    <t>Blondel père et fils</t>
  </si>
  <si>
    <t>France</t>
  </si>
  <si>
    <t>Bólido Comidas preparadas</t>
  </si>
  <si>
    <t>Spain</t>
  </si>
  <si>
    <t>Bon app'</t>
  </si>
  <si>
    <t>Bottom-Dollar Markets</t>
  </si>
  <si>
    <t>Canada</t>
  </si>
  <si>
    <t>B's Beverages</t>
  </si>
  <si>
    <t>Cactus Comidas para llevar</t>
  </si>
  <si>
    <t>Argentina</t>
  </si>
  <si>
    <t>Centro comercial Moctezuma</t>
  </si>
  <si>
    <t>Chop-suey Chinese</t>
  </si>
  <si>
    <t>Switzerland</t>
  </si>
  <si>
    <t>Comércio Mineiro</t>
  </si>
  <si>
    <t>Brazil</t>
  </si>
  <si>
    <t>Consolidated Holdings</t>
  </si>
  <si>
    <t>Die Wandernde Kuh</t>
  </si>
  <si>
    <t>Drachenblut Delikatessen</t>
  </si>
  <si>
    <t>Du monde entier</t>
  </si>
  <si>
    <t>Ernst Handel</t>
  </si>
  <si>
    <t>Austria</t>
  </si>
  <si>
    <t>Familia Arquibaldo</t>
  </si>
  <si>
    <t>FISSA Fabrica Inter. Salchichas S.A.</t>
  </si>
  <si>
    <t>Folies gourmandes</t>
  </si>
  <si>
    <t>Folk och fä HB</t>
  </si>
  <si>
    <t>France restauration</t>
  </si>
  <si>
    <t>Franchi S.p.A.</t>
  </si>
  <si>
    <t>Italy</t>
  </si>
  <si>
    <t>Frankenversand</t>
  </si>
  <si>
    <t>Furia Bacalhau e Frutos do Mar</t>
  </si>
  <si>
    <t>Portugal</t>
  </si>
  <si>
    <t>Galería del gastrónomo</t>
  </si>
  <si>
    <t>Godos Cocina Típica</t>
  </si>
  <si>
    <t>Gourmet Lanchonetes</t>
  </si>
  <si>
    <t>Great Lakes Food Market</t>
  </si>
  <si>
    <t>USA</t>
  </si>
  <si>
    <t>HILARIÓN-Abastos</t>
  </si>
  <si>
    <t>Venezuela</t>
  </si>
  <si>
    <t>Hungry Coyote Import Store</t>
  </si>
  <si>
    <t>Hungry Owl All-Night Grocers</t>
  </si>
  <si>
    <t>Ireland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</si>
  <si>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</si>
  <si>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</si>
  <si>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</si>
  <si>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</si>
  <si>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</si>
  <si>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</si>
  <si>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</si>
  <si>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</si>
  <si>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</si>
  <si>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Lonesome Pine Restaurant</t>
  </si>
  <si>
    <t>Magazzini Alimentari Riuniti</t>
  </si>
  <si>
    <t>Maison Dewey</t>
  </si>
  <si>
    <t>Belgium</t>
  </si>
  <si>
    <t>Mère Paillarde</t>
  </si>
  <si>
    <t>Morgenstern Gesundkost</t>
  </si>
  <si>
    <t>North/South</t>
  </si>
  <si>
    <t>Océano Atlántico Ltda.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</si>
  <si>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</si>
  <si>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</si>
  <si>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</si>
  <si>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</si>
  <si>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</si>
  <si>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</si>
  <si>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</si>
  <si>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</si>
  <si>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</si>
  <si>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</si>
  <si>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</si>
  <si>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</si>
  <si>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</si>
  <si>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Norway</t>
  </si>
  <si>
    <t>Save-a-lot Markets</t>
  </si>
  <si>
    <t>Seven Seas Imports</t>
  </si>
  <si>
    <t>Simons bistro</t>
  </si>
  <si>
    <t>Denmark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</si>
  <si>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</si>
  <si>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</si>
  <si>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</si>
  <si>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</si>
  <si>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</si>
  <si>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</si>
  <si>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</si>
  <si>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</si>
  <si>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</si>
  <si>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</si>
  <si>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Wartian Herkku</t>
  </si>
  <si>
    <t>Finland</t>
  </si>
  <si>
    <t>Wellington Importadora</t>
  </si>
  <si>
    <t>White Clover Markets</t>
  </si>
  <si>
    <t>Victuailles en stock</t>
  </si>
  <si>
    <t>Wilman Kala</t>
  </si>
  <si>
    <t>Vins et alcools Chevalier</t>
  </si>
  <si>
    <t>Wolski  Zajazd</t>
  </si>
  <si>
    <t>Poland</t>
  </si>
  <si>
    <t>Kategori</t>
  </si>
  <si>
    <t>Beräkning projektkostnad</t>
  </si>
  <si>
    <t>Startdatum</t>
  </si>
  <si>
    <t>Slutdatum</t>
  </si>
  <si>
    <t>Kostnad per dag</t>
  </si>
  <si>
    <t>Nettokostnad</t>
  </si>
  <si>
    <t>Kostnad ink moms</t>
  </si>
  <si>
    <t>Intäkter</t>
  </si>
  <si>
    <t>Rörelse</t>
  </si>
  <si>
    <t>Ränta</t>
  </si>
  <si>
    <t>Kostnader</t>
  </si>
  <si>
    <t>Datorer</t>
  </si>
  <si>
    <t>Löner</t>
  </si>
  <si>
    <t>Övrigt</t>
  </si>
  <si>
    <t>Resultat före skatt</t>
  </si>
  <si>
    <t>Skatt</t>
  </si>
  <si>
    <t>Redovisat resultat</t>
  </si>
  <si>
    <t>Antal dagar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</si>
</sst>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&quot;_-;\-* #,##0.00\ &quot;kr&quot;_-;_-* &quot;-&quot;??\ &quot;kr&quot;_-;_-@_-"/>
    <numFmt numFmtId="164" formatCode="_-* #,##0\ &quot;kr&quot;_-;\-* #,##0\ &quot;kr&quot;_-;_-* &quot;-&quot;??\ &quot;kr&quot;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5" fillId="0" borderId="0"/>
    <xf numFmtId="44" fontId="5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0" fontId="4" fillId="0" borderId="2" xfId="2" applyFont="1" applyFill="1" applyBorder="1" applyAlignment="1">
      <alignment horizontal="center"/>
    </xf>
    <xf numFmtId="0" fontId="4" fillId="0" borderId="3" xfId="2" applyFont="1" applyFill="1" applyBorder="1" applyAlignment="1">
      <alignment horizontal="center"/>
    </xf>
    <xf numFmtId="0" fontId="5" fillId="0" borderId="0" xfId="3"/>
    <xf numFmtId="0" fontId="3" fillId="0" borderId="4" xfId="2" applyBorder="1" applyAlignment="1">
      <alignment wrapText="1"/>
    </xf>
    <xf numFmtId="164" fontId="5" fillId="0" borderId="0" xfId="4" applyNumberFormat="1"/>
    <xf numFmtId="0" fontId="3" fillId="0" borderId="0" xfId="2" applyFill="1" applyAlignment="1">
      <alignment wrapText="1"/>
    </xf>
    <xf numFmtId="14" fontId="2" fillId="0" borderId="0" xfId="0" applyNumberFormat="1" applyFont="1"/>
    <xf numFmtId="164" fontId="2" fillId="0" borderId="6" xfId="1" applyNumberFormat="1" applyFont="1" applyBorder="1"/>
    <xf numFmtId="0" fontId="6" fillId="0" borderId="0" xfId="0" applyFont="1"/>
    <xf numFmtId="164" fontId="6" fillId="0" borderId="0" xfId="1" applyNumberFormat="1" applyFont="1"/>
    <xf numFmtId="164" fontId="6" fillId="0" borderId="1" xfId="1" applyNumberFormat="1" applyFont="1" applyBorder="1"/>
    <xf numFmtId="0" fontId="2" fillId="0" borderId="5" xfId="0" applyFont="1" applyBorder="1" applyAlignment="1">
      <alignment horizontal="center"/>
    </xf>
  </cellXfs>
  <cellStyles count="5">
    <cellStyle name="Currency" xfId="1" builtinId="4"/>
    <cellStyle name="Normal" xfId="0" builtinId="0"/>
    <cellStyle name="Normal 2" xfId="3" xr:uid="{251C737D-4FE1-46B0-BDC2-5ECF25DCF6FB}"/>
    <cellStyle name="Normal_Sheet1" xfId="2" xr:uid="{4651DAE9-9AC0-4818-9C24-4469DEEF0FE0}"/>
    <cellStyle name="Valuta 2" xfId="4" xr:uid="{8A2533C2-531B-42B5-80B6-3575F119A7FF}"/>
  </cellStyles>
  <dxfs count="6">
    <dxf>
      <numFmt numFmtId="0" formatCode="General"/>
      <alignment horizontal="general" vertical="bottom" textRotation="0" wrapText="1" indent="0" justifyLastLine="0" shrinkToFit="0" readingOrder="0"/>
    </dxf>
    <dxf>
      <numFmt numFmtId="164" formatCode="_-* #,##0\ &quot;kr&quot;_-;\-* #,##0\ &quot;kr&quot;_-;_-* &quot;-&quot;??\ &quot;kr&quot;_-;_-@_-"/>
    </dxf>
    <dxf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200025</xdr:rowOff>
    </xdr:from>
    <xdr:to>
      <xdr:col>11</xdr:col>
      <xdr:colOff>28574</xdr:colOff>
      <xdr:row>14</xdr:row>
      <xdr:rowOff>66675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57525" y="200025"/>
          <a:ext cx="4952999" cy="31813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Du skall skapa en funktion som beräknar resekostnaden för en resa.</a:t>
          </a:r>
        </a:p>
        <a:p>
          <a:endParaRPr lang="sv-SE" sz="1800"/>
        </a:p>
        <a:p>
          <a:r>
            <a:rPr lang="sv-SE" sz="1800"/>
            <a:t>Skapa en ny funktion som tar Resa, Hotell, Mat, Antal nätter som indata.</a:t>
          </a:r>
        </a:p>
        <a:p>
          <a:endParaRPr lang="sv-SE" sz="1800"/>
        </a:p>
        <a:p>
          <a:r>
            <a:rPr lang="sv-SE" sz="1800"/>
            <a:t>Funktionen skall returnera en total kostnad för resan.</a:t>
          </a:r>
        </a:p>
        <a:p>
          <a:endParaRPr lang="sv-SE" sz="1800"/>
        </a:p>
        <a:p>
          <a:r>
            <a:rPr lang="sv-SE" sz="1800"/>
            <a:t>Resa + (hotell * Antal dagar) + (Mat</a:t>
          </a:r>
          <a:r>
            <a:rPr lang="sv-SE" sz="1800" baseline="0"/>
            <a:t> * Antal dagar)</a:t>
          </a:r>
          <a:endParaRPr lang="sv-SE" sz="1800"/>
        </a:p>
      </xdr:txBody>
    </xdr:sp>
    <xdr:clientData/>
  </xdr:twoCellAnchor>
  <xdr:twoCellAnchor>
    <xdr:from>
      <xdr:col>2</xdr:col>
      <xdr:colOff>114300</xdr:colOff>
      <xdr:row>2</xdr:row>
      <xdr:rowOff>161925</xdr:rowOff>
    </xdr:from>
    <xdr:to>
      <xdr:col>2</xdr:col>
      <xdr:colOff>600075</xdr:colOff>
      <xdr:row>4</xdr:row>
      <xdr:rowOff>47625</xdr:rowOff>
    </xdr:to>
    <xdr:cxnSp macro="">
      <xdr:nvCxnSpPr>
        <xdr:cNvPr id="4" name="Rak pilkoppl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2609850" y="752475"/>
          <a:ext cx="485775" cy="4762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5</xdr:row>
      <xdr:rowOff>200025</xdr:rowOff>
    </xdr:from>
    <xdr:to>
      <xdr:col>2</xdr:col>
      <xdr:colOff>590551</xdr:colOff>
      <xdr:row>7</xdr:row>
      <xdr:rowOff>95250</xdr:rowOff>
    </xdr:to>
    <xdr:cxnSp macro="">
      <xdr:nvCxnSpPr>
        <xdr:cNvPr id="5" name="Rak pil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2533650" y="1685925"/>
          <a:ext cx="552451" cy="390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</xdr:row>
      <xdr:rowOff>66674</xdr:rowOff>
    </xdr:from>
    <xdr:to>
      <xdr:col>7</xdr:col>
      <xdr:colOff>38099</xdr:colOff>
      <xdr:row>26</xdr:row>
      <xdr:rowOff>104774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572000" y="228599"/>
          <a:ext cx="4952999" cy="44100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Du skall skapa en funktion som lägger ut Kategori beroende på Land.</a:t>
          </a:r>
        </a:p>
        <a:p>
          <a:endParaRPr lang="sv-SE" sz="1800"/>
        </a:p>
        <a:p>
          <a:r>
            <a:rPr lang="sv-SE" sz="1800"/>
            <a:t>Skapa en ny funktion som tar Land som indata.</a:t>
          </a:r>
        </a:p>
        <a:p>
          <a:endParaRPr lang="sv-SE" sz="1800"/>
        </a:p>
        <a:p>
          <a:r>
            <a:rPr lang="sv-SE" sz="1800"/>
            <a:t>Funktionen skall returnera Kategori för aktuellt land i D-kolumnen enligt nedanstående logik.</a:t>
          </a:r>
        </a:p>
        <a:p>
          <a:endParaRPr lang="sv-SE" sz="1800"/>
        </a:p>
        <a:p>
          <a:r>
            <a:rPr lang="sv-SE" sz="1800">
              <a:solidFill>
                <a:srgbClr val="FF0000"/>
              </a:solidFill>
            </a:rPr>
            <a:t>Om</a:t>
          </a:r>
          <a:r>
            <a:rPr lang="sv-SE" sz="1800"/>
            <a:t> Land = "Sweden" skall funktionen returnera "</a:t>
          </a:r>
          <a:r>
            <a:rPr lang="sv-SE" sz="1800">
              <a:solidFill>
                <a:srgbClr val="0070C0"/>
              </a:solidFill>
            </a:rPr>
            <a:t>Norden</a:t>
          </a:r>
          <a:r>
            <a:rPr lang="sv-SE" sz="1800"/>
            <a:t>"</a:t>
          </a:r>
        </a:p>
        <a:p>
          <a:endParaRPr lang="sv-SE" sz="18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800">
              <a:solidFill>
                <a:srgbClr val="FF0000"/>
              </a:solidFill>
            </a:rPr>
            <a:t>Annars Om </a:t>
          </a:r>
          <a:r>
            <a:rPr lang="sv-SE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Land = "Spain" skall funktionen returnera "</a:t>
          </a:r>
          <a:r>
            <a:rPr lang="sv-SE" sz="18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Sydeuropa</a:t>
          </a:r>
          <a:r>
            <a:rPr lang="sv-SE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endParaRPr lang="sv-SE" sz="1800">
            <a:effectLst/>
          </a:endParaRPr>
        </a:p>
        <a:p>
          <a:endParaRPr lang="sv-SE" sz="1800"/>
        </a:p>
        <a:p>
          <a:r>
            <a:rPr lang="sv-SE" sz="1800">
              <a:solidFill>
                <a:srgbClr val="FF0000"/>
              </a:solidFill>
            </a:rPr>
            <a:t>Annars</a:t>
          </a:r>
          <a:r>
            <a:rPr lang="sv-SE" sz="1800"/>
            <a:t> </a:t>
          </a:r>
          <a:r>
            <a:rPr lang="sv-SE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skall funktionen returnera "</a:t>
          </a:r>
          <a:r>
            <a:rPr lang="sv-SE" sz="18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Övrigt</a:t>
          </a:r>
          <a:r>
            <a:rPr lang="sv-SE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endParaRPr lang="sv-SE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0</xdr:row>
      <xdr:rowOff>247650</xdr:rowOff>
    </xdr:from>
    <xdr:to>
      <xdr:col>11</xdr:col>
      <xdr:colOff>600075</xdr:colOff>
      <xdr:row>12</xdr:row>
      <xdr:rowOff>276225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90951" y="247650"/>
          <a:ext cx="5476874" cy="35718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Skapa</a:t>
          </a:r>
          <a:r>
            <a:rPr lang="sv-SE" sz="1800" baseline="0"/>
            <a:t> en beräkning av projektkostnad. </a:t>
          </a:r>
          <a:endParaRPr lang="sv-SE" sz="1800"/>
        </a:p>
        <a:p>
          <a:endParaRPr lang="sv-SE" sz="1800"/>
        </a:p>
        <a:p>
          <a:r>
            <a:rPr lang="sv-SE" sz="1800"/>
            <a:t>Du skall skapa en procedur som hämtar i </a:t>
          </a:r>
          <a:r>
            <a:rPr lang="sv-SE" sz="1800">
              <a:solidFill>
                <a:srgbClr val="0070C0"/>
              </a:solidFill>
            </a:rPr>
            <a:t>Startdatum</a:t>
          </a:r>
          <a:r>
            <a:rPr lang="sv-SE" sz="1800"/>
            <a:t>, </a:t>
          </a:r>
          <a:r>
            <a:rPr lang="sv-SE" sz="1800">
              <a:solidFill>
                <a:srgbClr val="0070C0"/>
              </a:solidFill>
            </a:rPr>
            <a:t>Slutdatum</a:t>
          </a:r>
          <a:r>
            <a:rPr lang="sv-SE" sz="1800"/>
            <a:t> och </a:t>
          </a:r>
          <a:r>
            <a:rPr lang="sv-SE" sz="1800">
              <a:solidFill>
                <a:srgbClr val="0070C0"/>
              </a:solidFill>
            </a:rPr>
            <a:t>Kostnad per dag </a:t>
          </a:r>
          <a:r>
            <a:rPr lang="sv-SE" sz="1800"/>
            <a:t>som indata till variabler.</a:t>
          </a:r>
        </a:p>
        <a:p>
          <a:endParaRPr lang="sv-SE" sz="1800"/>
        </a:p>
        <a:p>
          <a:r>
            <a:rPr lang="sv-SE" sz="1800"/>
            <a:t>Proceduren skall beräkna och lägga ut </a:t>
          </a:r>
          <a:r>
            <a:rPr lang="sv-SE" sz="1800">
              <a:solidFill>
                <a:srgbClr val="0070C0"/>
              </a:solidFill>
            </a:rPr>
            <a:t>Nettokostnad</a:t>
          </a:r>
          <a:r>
            <a:rPr lang="sv-SE" sz="1800"/>
            <a:t>, </a:t>
          </a:r>
          <a:r>
            <a:rPr lang="sv-SE" sz="1800">
              <a:solidFill>
                <a:srgbClr val="0070C0"/>
              </a:solidFill>
            </a:rPr>
            <a:t>Moms</a:t>
          </a:r>
          <a:r>
            <a:rPr lang="sv-SE" sz="1800"/>
            <a:t> och </a:t>
          </a:r>
          <a:r>
            <a:rPr lang="sv-SE" sz="1800">
              <a:solidFill>
                <a:srgbClr val="0070C0"/>
              </a:solidFill>
            </a:rPr>
            <a:t>Kostnad ink moms</a:t>
          </a:r>
          <a:r>
            <a:rPr lang="sv-SE" sz="1800"/>
            <a:t>.</a:t>
          </a:r>
        </a:p>
        <a:p>
          <a:endParaRPr lang="sv-SE" sz="1800"/>
        </a:p>
        <a:p>
          <a:r>
            <a:rPr lang="sv-SE" sz="1800"/>
            <a:t>Beräkning: (Slutdatum - Startdatum) * Kostnad per dag</a:t>
          </a:r>
        </a:p>
        <a:p>
          <a:endParaRPr lang="sv-SE" sz="1800"/>
        </a:p>
        <a:p>
          <a:r>
            <a:rPr lang="sv-SE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När allt är klart skall du skapa en knapp som kör proceduren.</a:t>
          </a:r>
          <a:endParaRPr lang="sv-SE" sz="1800"/>
        </a:p>
      </xdr:txBody>
    </xdr:sp>
    <xdr:clientData/>
  </xdr:twoCellAnchor>
  <xdr:twoCellAnchor>
    <xdr:from>
      <xdr:col>2</xdr:col>
      <xdr:colOff>76200</xdr:colOff>
      <xdr:row>3</xdr:row>
      <xdr:rowOff>247650</xdr:rowOff>
    </xdr:from>
    <xdr:to>
      <xdr:col>3</xdr:col>
      <xdr:colOff>19051</xdr:colOff>
      <xdr:row>3</xdr:row>
      <xdr:rowOff>285750</xdr:rowOff>
    </xdr:to>
    <xdr:cxnSp macro="">
      <xdr:nvCxnSpPr>
        <xdr:cNvPr id="4" name="Rak pilkoppling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H="1" flipV="1">
          <a:off x="3257550" y="1133475"/>
          <a:ext cx="552451" cy="38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</xdr:colOff>
      <xdr:row>6</xdr:row>
      <xdr:rowOff>85725</xdr:rowOff>
    </xdr:from>
    <xdr:to>
      <xdr:col>2</xdr:col>
      <xdr:colOff>581026</xdr:colOff>
      <xdr:row>7</xdr:row>
      <xdr:rowOff>133350</xdr:rowOff>
    </xdr:to>
    <xdr:cxnSp macro="">
      <xdr:nvCxnSpPr>
        <xdr:cNvPr id="6" name="Rak pilkoppling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H="1">
          <a:off x="3276600" y="1857375"/>
          <a:ext cx="485776" cy="3429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1819275</xdr:colOff>
          <xdr:row>9</xdr:row>
          <xdr:rowOff>285750</xdr:rowOff>
        </xdr:from>
        <xdr:to>
          <xdr:col>1</xdr:col>
          <xdr:colOff>1343025</xdr:colOff>
          <xdr:row>12</xdr:row>
          <xdr:rowOff>19050</xdr:rowOff>
        </xdr:to>
        <xdr:sp macro="" textlink="">
          <xdr:nvSpPr>
            <xdr:cNvPr id="3073" name="cmbProjek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0</xdr:row>
      <xdr:rowOff>0</xdr:rowOff>
    </xdr:from>
    <xdr:to>
      <xdr:col>20</xdr:col>
      <xdr:colOff>323849</xdr:colOff>
      <xdr:row>13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838699" y="0"/>
          <a:ext cx="10639425" cy="40005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/>
            <a:t>Skapa</a:t>
          </a:r>
          <a:r>
            <a:rPr lang="sv-SE" sz="1400" baseline="0"/>
            <a:t> en resultatberäkning för ett företag. </a:t>
          </a:r>
          <a:endParaRPr lang="sv-SE" sz="1400"/>
        </a:p>
        <a:p>
          <a:endParaRPr lang="sv-SE" sz="1400"/>
        </a:p>
        <a:p>
          <a:r>
            <a:rPr lang="sv-SE" sz="1400"/>
            <a:t>Du skall skapa en procedur som hämtar värdena för </a:t>
          </a:r>
          <a:r>
            <a:rPr lang="sv-SE" sz="1400">
              <a:solidFill>
                <a:srgbClr val="0070C0"/>
              </a:solidFill>
            </a:rPr>
            <a:t>Rörelse</a:t>
          </a:r>
          <a:r>
            <a:rPr lang="sv-SE" sz="1400"/>
            <a:t>, </a:t>
          </a:r>
          <a:r>
            <a:rPr lang="sv-SE" sz="1400">
              <a:solidFill>
                <a:srgbClr val="0070C0"/>
              </a:solidFill>
            </a:rPr>
            <a:t>Ränta</a:t>
          </a:r>
          <a:r>
            <a:rPr lang="sv-SE" sz="1400">
              <a:solidFill>
                <a:schemeClr val="tx1"/>
              </a:solidFill>
            </a:rPr>
            <a:t>,</a:t>
          </a:r>
          <a:r>
            <a:rPr lang="sv-SE" sz="1400">
              <a:solidFill>
                <a:srgbClr val="0070C0"/>
              </a:solidFill>
            </a:rPr>
            <a:t> Datorer</a:t>
          </a:r>
          <a:r>
            <a:rPr lang="sv-SE" sz="1400">
              <a:solidFill>
                <a:schemeClr val="tx1"/>
              </a:solidFill>
            </a:rPr>
            <a:t>,</a:t>
          </a:r>
          <a:r>
            <a:rPr lang="sv-SE" sz="1400">
              <a:solidFill>
                <a:srgbClr val="0070C0"/>
              </a:solidFill>
            </a:rPr>
            <a:t> Löner</a:t>
          </a:r>
          <a:r>
            <a:rPr lang="sv-SE" sz="1400"/>
            <a:t> och </a:t>
          </a:r>
          <a:r>
            <a:rPr lang="sv-SE" sz="1400">
              <a:solidFill>
                <a:srgbClr val="0070C0"/>
              </a:solidFill>
            </a:rPr>
            <a:t>Övrigt </a:t>
          </a:r>
          <a:r>
            <a:rPr lang="sv-SE" sz="1400"/>
            <a:t>som indata till variabler.</a:t>
          </a:r>
        </a:p>
        <a:p>
          <a:endParaRPr lang="sv-SE" sz="1400"/>
        </a:p>
        <a:p>
          <a:r>
            <a:rPr lang="sv-SE" sz="1400"/>
            <a:t>Proceduren skall beräkna Rörelse + Ränta och lagra detta värde i en variabel. (</a:t>
          </a:r>
          <a:r>
            <a:rPr lang="sv-SE" sz="1400">
              <a:solidFill>
                <a:srgbClr val="FF0000"/>
              </a:solidFill>
            </a:rPr>
            <a:t>SummaIntäkter</a:t>
          </a:r>
          <a:r>
            <a:rPr lang="sv-SE" sz="1400"/>
            <a:t>)</a:t>
          </a:r>
        </a:p>
        <a:p>
          <a:endParaRPr lang="sv-SE" sz="1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Proceduren</a:t>
          </a:r>
          <a:r>
            <a:rPr lang="sv-SE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sv-SE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skall också beräkna Datorer + Löner + Övrigt och lagra detta värde i en variabel. (</a:t>
          </a:r>
          <a:r>
            <a:rPr lang="sv-SE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SummaKostnader</a:t>
          </a:r>
          <a:r>
            <a:rPr lang="sv-SE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sv-SE" sz="1400">
            <a:effectLst/>
          </a:endParaRPr>
        </a:p>
        <a:p>
          <a:endParaRPr lang="sv-SE" sz="1400"/>
        </a:p>
        <a:p>
          <a:r>
            <a:rPr lang="sv-SE" sz="1400"/>
            <a:t>Sedan</a:t>
          </a:r>
          <a:r>
            <a:rPr lang="sv-SE" sz="1400" baseline="0"/>
            <a:t> skall </a:t>
          </a:r>
          <a:r>
            <a:rPr lang="sv-SE" sz="1400" baseline="0">
              <a:solidFill>
                <a:srgbClr val="FF0000"/>
              </a:solidFill>
            </a:rPr>
            <a:t>SummaIntäkter</a:t>
          </a:r>
          <a:r>
            <a:rPr lang="sv-SE" sz="1400" baseline="0"/>
            <a:t> - </a:t>
          </a:r>
          <a:r>
            <a:rPr lang="sv-SE" sz="1400" baseline="0">
              <a:solidFill>
                <a:srgbClr val="FF0000"/>
              </a:solidFill>
            </a:rPr>
            <a:t>SummaKostnader</a:t>
          </a:r>
          <a:r>
            <a:rPr lang="sv-SE" sz="1400" baseline="0"/>
            <a:t> läggas i cellen C10.</a:t>
          </a:r>
        </a:p>
        <a:p>
          <a:endParaRPr lang="sv-SE" sz="1400" baseline="0"/>
        </a:p>
        <a:p>
          <a:r>
            <a:rPr lang="sv-SE" sz="1400" baseline="0"/>
            <a:t>Skatteberäkning: 	Om C10 &gt; 0</a:t>
          </a:r>
        </a:p>
        <a:p>
          <a:r>
            <a:rPr lang="sv-SE" sz="1400" baseline="0"/>
            <a:t>		Skatten blir:  C10 * 0,22</a:t>
          </a:r>
        </a:p>
        <a:p>
          <a:r>
            <a:rPr lang="sv-SE" sz="1400" baseline="0"/>
            <a:t>		Annars</a:t>
          </a:r>
        </a:p>
        <a:p>
          <a:r>
            <a:rPr lang="sv-SE" sz="1400" baseline="0"/>
            <a:t>		Skatten blir: 0</a:t>
          </a:r>
        </a:p>
        <a:p>
          <a:endParaRPr lang="sv-SE" sz="1400" baseline="0"/>
        </a:p>
        <a:p>
          <a:r>
            <a:rPr lang="sv-SE" sz="1400" baseline="0"/>
            <a:t>Slutligen skall Resultat före skatt (C10) - Skatt (C11) läggas i C12.</a:t>
          </a:r>
        </a:p>
        <a:p>
          <a:endParaRPr lang="sv-SE" sz="1400"/>
        </a:p>
        <a:p>
          <a:r>
            <a:rPr lang="sv-SE" sz="1400"/>
            <a:t>Skapa en knapp som kör proceduren.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257175</xdr:rowOff>
        </xdr:from>
        <xdr:to>
          <xdr:col>2</xdr:col>
          <xdr:colOff>1076325</xdr:colOff>
          <xdr:row>15</xdr:row>
          <xdr:rowOff>123825</xdr:rowOff>
        </xdr:to>
        <xdr:sp macro="" textlink="">
          <xdr:nvSpPr>
            <xdr:cNvPr id="4097" name="cmbResulta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0D02F4-9244-4207-8164-3BA97839CC44}" name="Tabell3" displayName="Tabell3" ref="A1:D85" totalsRowShown="0" headerRowDxfId="5" dataDxfId="4" headerRowCellStyle="Normal_Sheet1" dataCellStyle="Normal_Sheet1">
  <autoFilter ref="A1:D85" xr:uid="{2F70B8E7-3D72-4074-B02E-2A399F801935}"/>
  <tableColumns count="4">
    <tableColumn id="1" xr3:uid="{D3ABC27A-4C23-49B1-AF8D-8D7E96CBC2E3}" name="Företag" dataDxfId="3" dataCellStyle="Normal_Sheet1"/>
    <tableColumn id="6" xr3:uid="{82C38CE0-DA18-4E6E-8EF1-F249AB0690FD}" name="Land" dataDxfId="2" dataCellStyle="Normal_Sheet1"/>
    <tableColumn id="7" xr3:uid="{A7A112C1-669A-4377-9F85-B371C323852F}" name="Ordervärde" dataDxfId="1"/>
    <tableColumn id="2" xr3:uid="{237C79CB-94E6-4A59-94FF-41E37C420AFF}" name="Kategori" dataDxfId="0" dataCellStyle="Normal_Sheet1">
      <calculatedColumnFormula array="1">landKategori(Tabell3[[#This Row],[Land]])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AFEF0-35F7-4246-AA5A-5CF88F52E842}">
  <sheetPr codeName="Blad1"/>
  <dimension ref="A1:B6"/>
  <sheetViews>
    <sheetView zoomScaleNormal="100" workbookViewId="0">
      <selection activeCell="B5" sqref="B5"/>
    </sheetView>
  </sheetViews>
  <sheetFormatPr defaultRowHeight="15" x14ac:dyDescent="0.25"/>
  <cols>
    <col min="1" max="1" width="18.5703125" bestFit="1" customWidth="1"/>
    <col min="2" max="2" width="18.85546875" bestFit="1" customWidth="1"/>
  </cols>
  <sheetData>
    <row r="1" spans="1:2" ht="23.25" x14ac:dyDescent="0.35">
      <c r="A1" s="1" t="s">
        <v>0</v>
      </c>
      <c r="B1" s="2">
        <v>3500</v>
      </c>
    </row>
    <row r="2" spans="1:2" ht="23.25" x14ac:dyDescent="0.35">
      <c r="A2" s="1" t="s">
        <v>1</v>
      </c>
      <c r="B2" s="2">
        <v>800</v>
      </c>
    </row>
    <row r="3" spans="1:2" ht="23.25" x14ac:dyDescent="0.35">
      <c r="A3" s="1" t="s">
        <v>2</v>
      </c>
      <c r="B3" s="2">
        <v>300</v>
      </c>
    </row>
    <row r="4" spans="1:2" ht="23.25" x14ac:dyDescent="0.35">
      <c r="A4" s="1" t="s">
        <v>130</v>
      </c>
      <c r="B4" s="1">
        <v>5</v>
      </c>
    </row>
    <row r="5" spans="1:2" ht="24" thickBot="1" x14ac:dyDescent="0.4">
      <c r="A5" s="1"/>
      <c r="B5" s="1"/>
    </row>
    <row r="6" spans="1:2" ht="24" thickBot="1" x14ac:dyDescent="0.4">
      <c r="A6" s="1" t="s">
        <v>3</v>
      </c>
      <c r="B6" s="3" cm="1">
        <f t="array" ref="B6">resekostnad(B1,B2,B3,B4)</f>
        <v>9000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1FC-2890-482E-909C-AAD1C70B60D0}">
  <sheetPr codeName="Blad3"/>
  <dimension ref="A1:D85"/>
  <sheetViews>
    <sheetView workbookViewId="0">
      <pane ySplit="1" topLeftCell="A2" activePane="bottomLeft" state="frozen"/>
      <selection activeCell="C1" sqref="C1"/>
      <selection pane="bottomLeft" activeCell="D2" sqref="D2"/>
    </sheetView>
  </sheetViews>
  <sheetFormatPr defaultColWidth="26.7109375" defaultRowHeight="12.75" x14ac:dyDescent="0.2"/>
  <cols>
    <col min="1" max="1" width="25.85546875" style="6" bestFit="1" customWidth="1"/>
    <col min="2" max="2" width="10.5703125" style="6" bestFit="1" customWidth="1"/>
    <col min="3" max="3" width="12.42578125" style="6" bestFit="1" customWidth="1"/>
    <col min="4" max="4" width="13.28515625" style="6" bestFit="1" customWidth="1"/>
    <col min="5" max="16384" width="26.7109375" style="6"/>
  </cols>
  <sheetData>
    <row r="1" spans="1:4" x14ac:dyDescent="0.2">
      <c r="A1" s="4" t="s">
        <v>4</v>
      </c>
      <c r="B1" s="4" t="s">
        <v>5</v>
      </c>
      <c r="C1" s="5" t="s">
        <v>6</v>
      </c>
      <c r="D1" s="5" t="s">
        <v>113</v>
      </c>
    </row>
    <row r="2" spans="1:4" x14ac:dyDescent="0.2">
      <c r="A2" s="7" t="s">
        <v>8</v>
      </c>
      <c r="B2" s="7" t="s">
        <v>9</v>
      </c>
      <c r="C2" s="8">
        <v>10000</v>
      </c>
      <c r="D2" s="9" t="str" cm="1">
        <f t="array" ref="D2">landKategori(Tabell3[[#This Row],[Land]])</f>
        <v>Övrigt</v>
      </c>
    </row>
    <row r="3" spans="1:4" ht="25.5" x14ac:dyDescent="0.2">
      <c r="A3" s="7" t="s">
        <v>10</v>
      </c>
      <c r="B3" s="7" t="s">
        <v>11</v>
      </c>
      <c r="C3" s="8">
        <v>15000</v>
      </c>
      <c r="D3" s="9" t="str" cm="1">
        <f t="array" ref="D3">landKategori(Tabell3[[#This Row],[Land]])</f>
        <v>Övrigt</v>
      </c>
    </row>
    <row r="4" spans="1:4" x14ac:dyDescent="0.2">
      <c r="A4" s="7" t="s">
        <v>12</v>
      </c>
      <c r="B4" s="7" t="s">
        <v>11</v>
      </c>
      <c r="C4" s="8">
        <v>45000</v>
      </c>
      <c r="D4" s="9" t="str" cm="1">
        <f t="array" ref="D4">landKategori(Tabell3[[#This Row],[Land]])</f>
        <v>Övrigt</v>
      </c>
    </row>
    <row r="5" spans="1:4" x14ac:dyDescent="0.2">
      <c r="A5" s="7" t="s">
        <v>13</v>
      </c>
      <c r="B5" s="7" t="s">
        <v>14</v>
      </c>
      <c r="C5" s="8">
        <v>650000</v>
      </c>
      <c r="D5" s="9" t="str" cm="1">
        <f t="array" ref="D5">landKategori(Tabell3[[#This Row],[Land]])</f>
        <v>Övrigt</v>
      </c>
    </row>
    <row r="6" spans="1:4" x14ac:dyDescent="0.2">
      <c r="A6" s="7" t="s">
        <v>15</v>
      </c>
      <c r="B6" s="7" t="s">
        <v>16</v>
      </c>
      <c r="C6" s="8">
        <v>12000</v>
      </c>
      <c r="D6" s="9" t="str" cm="1">
        <f t="array" ref="D6">landKategori(Tabell3[[#This Row],[Land]])</f>
        <v>Norden</v>
      </c>
    </row>
    <row r="7" spans="1:4" x14ac:dyDescent="0.2">
      <c r="A7" s="7" t="s">
        <v>17</v>
      </c>
      <c r="B7" s="7" t="s">
        <v>9</v>
      </c>
      <c r="C7" s="8">
        <v>80000</v>
      </c>
      <c r="D7" s="9" t="str" cm="1">
        <f t="array" ref="D7">landKategori(Tabell3[[#This Row],[Land]])</f>
        <v>Övrigt</v>
      </c>
    </row>
    <row r="8" spans="1:4" x14ac:dyDescent="0.2">
      <c r="A8" s="7" t="s">
        <v>18</v>
      </c>
      <c r="B8" s="7" t="s">
        <v>19</v>
      </c>
      <c r="C8" s="8">
        <v>260000</v>
      </c>
      <c r="D8" s="9" t="str" cm="1">
        <f t="array" ref="D8">landKategori(Tabell3[[#This Row],[Land]])</f>
        <v>Övrigt</v>
      </c>
    </row>
    <row r="9" spans="1:4" x14ac:dyDescent="0.2">
      <c r="A9" s="7" t="s">
        <v>20</v>
      </c>
      <c r="B9" s="7" t="s">
        <v>21</v>
      </c>
      <c r="C9" s="8">
        <v>12000</v>
      </c>
      <c r="D9" s="9" t="str" cm="1">
        <f t="array" ref="D9">landKategori(Tabell3[[#This Row],[Land]])</f>
        <v>Sydeuropa</v>
      </c>
    </row>
    <row r="10" spans="1:4" x14ac:dyDescent="0.2">
      <c r="A10" s="7" t="s">
        <v>22</v>
      </c>
      <c r="B10" s="7" t="s">
        <v>19</v>
      </c>
      <c r="C10" s="8">
        <v>6000</v>
      </c>
      <c r="D10" s="9" t="str" cm="1">
        <f t="array" ref="D10">landKategori(Tabell3[[#This Row],[Land]])</f>
        <v>Övrigt</v>
      </c>
    </row>
    <row r="11" spans="1:4" x14ac:dyDescent="0.2">
      <c r="A11" s="7" t="s">
        <v>23</v>
      </c>
      <c r="B11" s="7" t="s">
        <v>24</v>
      </c>
      <c r="C11" s="8">
        <v>65000</v>
      </c>
      <c r="D11" s="9" t="str" cm="1">
        <f t="array" ref="D11">landKategori(Tabell3[[#This Row],[Land]])</f>
        <v>Övrigt</v>
      </c>
    </row>
    <row r="12" spans="1:4" x14ac:dyDescent="0.2">
      <c r="A12" s="7" t="s">
        <v>25</v>
      </c>
      <c r="B12" s="7" t="s">
        <v>14</v>
      </c>
      <c r="C12" s="8">
        <v>3200</v>
      </c>
      <c r="D12" s="9" t="str" cm="1">
        <f t="array" ref="D12">landKategori(Tabell3[[#This Row],[Land]])</f>
        <v>Övrigt</v>
      </c>
    </row>
    <row r="13" spans="1:4" x14ac:dyDescent="0.2">
      <c r="A13" s="7" t="s">
        <v>26</v>
      </c>
      <c r="B13" s="7" t="s">
        <v>27</v>
      </c>
      <c r="C13" s="8">
        <v>480100</v>
      </c>
      <c r="D13" s="9" t="str" cm="1">
        <f t="array" ref="D13">landKategori(Tabell3[[#This Row],[Land]])</f>
        <v>Övrigt</v>
      </c>
    </row>
    <row r="14" spans="1:4" x14ac:dyDescent="0.2">
      <c r="A14" s="7" t="s">
        <v>28</v>
      </c>
      <c r="B14" s="7" t="s">
        <v>11</v>
      </c>
      <c r="C14" s="8">
        <v>48000</v>
      </c>
      <c r="D14" s="9" t="str" cm="1">
        <f t="array" ref="D14">landKategori(Tabell3[[#This Row],[Land]])</f>
        <v>Övrigt</v>
      </c>
    </row>
    <row r="15" spans="1:4" x14ac:dyDescent="0.2">
      <c r="A15" s="7" t="s">
        <v>29</v>
      </c>
      <c r="B15" s="7" t="s">
        <v>30</v>
      </c>
      <c r="C15" s="8">
        <v>680000</v>
      </c>
      <c r="D15" s="9" t="str" cm="1">
        <f t="array" ref="D15">landKategori(Tabell3[[#This Row],[Land]])</f>
        <v>Övrigt</v>
      </c>
    </row>
    <row r="16" spans="1:4" x14ac:dyDescent="0.2">
      <c r="A16" s="7" t="s">
        <v>31</v>
      </c>
      <c r="B16" s="7" t="s">
        <v>32</v>
      </c>
      <c r="C16" s="8">
        <v>1200000</v>
      </c>
      <c r="D16" s="9" t="str" cm="1">
        <f t="array" ref="D16">landKategori(Tabell3[[#This Row],[Land]])</f>
        <v>Övrigt</v>
      </c>
    </row>
    <row r="17" spans="1:4" x14ac:dyDescent="0.2">
      <c r="A17" s="7" t="s">
        <v>33</v>
      </c>
      <c r="B17" s="7" t="s">
        <v>14</v>
      </c>
      <c r="C17" s="8">
        <v>13000</v>
      </c>
      <c r="D17" s="9" t="str" cm="1">
        <f t="array" ref="D17">landKategori(Tabell3[[#This Row],[Land]])</f>
        <v>Övrigt</v>
      </c>
    </row>
    <row r="18" spans="1:4" x14ac:dyDescent="0.2">
      <c r="A18" s="7" t="s">
        <v>34</v>
      </c>
      <c r="B18" s="7" t="s">
        <v>9</v>
      </c>
      <c r="C18" s="8">
        <v>7000</v>
      </c>
      <c r="D18" s="9" t="str" cm="1">
        <f t="array" ref="D18">landKategori(Tabell3[[#This Row],[Land]])</f>
        <v>Övrigt</v>
      </c>
    </row>
    <row r="19" spans="1:4" x14ac:dyDescent="0.2">
      <c r="A19" s="7" t="s">
        <v>35</v>
      </c>
      <c r="B19" s="7" t="s">
        <v>9</v>
      </c>
      <c r="C19" s="8">
        <v>150000</v>
      </c>
      <c r="D19" s="9" t="str" cm="1">
        <f t="array" ref="D19">landKategori(Tabell3[[#This Row],[Land]])</f>
        <v>Övrigt</v>
      </c>
    </row>
    <row r="20" spans="1:4" x14ac:dyDescent="0.2">
      <c r="A20" s="7" t="s">
        <v>36</v>
      </c>
      <c r="B20" s="7" t="s">
        <v>19</v>
      </c>
      <c r="C20" s="8">
        <v>48000</v>
      </c>
      <c r="D20" s="9" t="str" cm="1">
        <f t="array" ref="D20">landKategori(Tabell3[[#This Row],[Land]])</f>
        <v>Övrigt</v>
      </c>
    </row>
    <row r="21" spans="1:4" x14ac:dyDescent="0.2">
      <c r="A21" s="7" t="s">
        <v>37</v>
      </c>
      <c r="B21" s="7" t="s">
        <v>38</v>
      </c>
      <c r="C21" s="8">
        <v>654000</v>
      </c>
      <c r="D21" s="9" t="str" cm="1">
        <f t="array" ref="D21">landKategori(Tabell3[[#This Row],[Land]])</f>
        <v>Övrigt</v>
      </c>
    </row>
    <row r="22" spans="1:4" x14ac:dyDescent="0.2">
      <c r="A22" s="7" t="s">
        <v>39</v>
      </c>
      <c r="B22" s="7" t="s">
        <v>32</v>
      </c>
      <c r="C22" s="8">
        <v>23000</v>
      </c>
      <c r="D22" s="9" t="str" cm="1">
        <f t="array" ref="D22">landKategori(Tabell3[[#This Row],[Land]])</f>
        <v>Övrigt</v>
      </c>
    </row>
    <row r="23" spans="1:4" ht="25.5" x14ac:dyDescent="0.2">
      <c r="A23" s="7" t="s">
        <v>40</v>
      </c>
      <c r="B23" s="7" t="s">
        <v>21</v>
      </c>
      <c r="C23" s="8">
        <v>123000</v>
      </c>
      <c r="D23" s="9" t="str" cm="1">
        <f t="array" ref="D23">landKategori(Tabell3[[#This Row],[Land]])</f>
        <v>Sydeuropa</v>
      </c>
    </row>
    <row r="24" spans="1:4" x14ac:dyDescent="0.2">
      <c r="A24" s="7" t="s">
        <v>41</v>
      </c>
      <c r="B24" s="7" t="s">
        <v>19</v>
      </c>
      <c r="C24" s="8">
        <v>3200</v>
      </c>
      <c r="D24" s="9" t="str" cm="1">
        <f t="array" ref="D24">landKategori(Tabell3[[#This Row],[Land]])</f>
        <v>Övrigt</v>
      </c>
    </row>
    <row r="25" spans="1:4" x14ac:dyDescent="0.2">
      <c r="A25" s="7" t="s">
        <v>42</v>
      </c>
      <c r="B25" s="7" t="s">
        <v>16</v>
      </c>
      <c r="C25" s="8">
        <v>35000</v>
      </c>
      <c r="D25" s="9" t="str" cm="1">
        <f t="array" ref="D25">landKategori(Tabell3[[#This Row],[Land]])</f>
        <v>Norden</v>
      </c>
    </row>
    <row r="26" spans="1:4" x14ac:dyDescent="0.2">
      <c r="A26" s="7" t="s">
        <v>43</v>
      </c>
      <c r="B26" s="7" t="s">
        <v>19</v>
      </c>
      <c r="C26" s="8">
        <v>98000</v>
      </c>
      <c r="D26" s="9" t="str" cm="1">
        <f t="array" ref="D26">landKategori(Tabell3[[#This Row],[Land]])</f>
        <v>Övrigt</v>
      </c>
    </row>
    <row r="27" spans="1:4" x14ac:dyDescent="0.2">
      <c r="A27" s="7" t="s">
        <v>44</v>
      </c>
      <c r="B27" s="7" t="s">
        <v>45</v>
      </c>
      <c r="C27" s="8">
        <v>45000</v>
      </c>
      <c r="D27" s="9" t="str" cm="1">
        <f t="array" ref="D27">landKategori(Tabell3[[#This Row],[Land]])</f>
        <v>Övrigt</v>
      </c>
    </row>
    <row r="28" spans="1:4" x14ac:dyDescent="0.2">
      <c r="A28" s="7" t="s">
        <v>46</v>
      </c>
      <c r="B28" s="7" t="s">
        <v>9</v>
      </c>
      <c r="C28" s="8">
        <v>48000</v>
      </c>
      <c r="D28" s="9" t="str" cm="1">
        <f t="array" ref="D28">landKategori(Tabell3[[#This Row],[Land]])</f>
        <v>Övrigt</v>
      </c>
    </row>
    <row r="29" spans="1:4" ht="25.5" x14ac:dyDescent="0.2">
      <c r="A29" s="7" t="s">
        <v>47</v>
      </c>
      <c r="B29" s="7" t="s">
        <v>48</v>
      </c>
      <c r="C29" s="8">
        <v>35000</v>
      </c>
      <c r="D29" s="9" t="str" cm="1">
        <f t="array" ref="D29">landKategori(Tabell3[[#This Row],[Land]])</f>
        <v>Övrigt</v>
      </c>
    </row>
    <row r="30" spans="1:4" x14ac:dyDescent="0.2">
      <c r="A30" s="7" t="s">
        <v>49</v>
      </c>
      <c r="B30" s="7" t="s">
        <v>21</v>
      </c>
      <c r="C30" s="8">
        <v>59000</v>
      </c>
      <c r="D30" s="9" t="str" cm="1">
        <f t="array" ref="D30">landKategori(Tabell3[[#This Row],[Land]])</f>
        <v>Sydeuropa</v>
      </c>
    </row>
    <row r="31" spans="1:4" x14ac:dyDescent="0.2">
      <c r="A31" s="7" t="s">
        <v>50</v>
      </c>
      <c r="B31" s="7" t="s">
        <v>21</v>
      </c>
      <c r="C31" s="8">
        <v>32000</v>
      </c>
      <c r="D31" s="9" t="str" cm="1">
        <f t="array" ref="D31">landKategori(Tabell3[[#This Row],[Land]])</f>
        <v>Sydeuropa</v>
      </c>
    </row>
    <row r="32" spans="1:4" x14ac:dyDescent="0.2">
      <c r="A32" s="7" t="s">
        <v>51</v>
      </c>
      <c r="B32" s="7" t="s">
        <v>32</v>
      </c>
      <c r="C32" s="8">
        <v>48000</v>
      </c>
      <c r="D32" s="9" t="str" cm="1">
        <f t="array" ref="D32">landKategori(Tabell3[[#This Row],[Land]])</f>
        <v>Övrigt</v>
      </c>
    </row>
    <row r="33" spans="1:4" x14ac:dyDescent="0.2">
      <c r="A33" s="7" t="s">
        <v>52</v>
      </c>
      <c r="B33" s="7" t="s">
        <v>53</v>
      </c>
      <c r="C33" s="8">
        <v>9870</v>
      </c>
      <c r="D33" s="9" t="str" cm="1">
        <f t="array" ref="D33">landKategori(Tabell3[[#This Row],[Land]])</f>
        <v>Övrigt</v>
      </c>
    </row>
    <row r="34" spans="1:4" x14ac:dyDescent="0.2">
      <c r="A34" s="7" t="s">
        <v>54</v>
      </c>
      <c r="B34" s="7" t="s">
        <v>55</v>
      </c>
      <c r="C34" s="8">
        <v>35000</v>
      </c>
      <c r="D34" s="9" t="str" cm="1">
        <f t="array" ref="D34">landKategori(Tabell3[[#This Row],[Land]])</f>
        <v>Övrigt</v>
      </c>
    </row>
    <row r="35" spans="1:4" x14ac:dyDescent="0.2">
      <c r="A35" s="7" t="s">
        <v>56</v>
      </c>
      <c r="B35" s="7" t="s">
        <v>53</v>
      </c>
      <c r="C35" s="8">
        <v>5900</v>
      </c>
      <c r="D35" s="9" t="str" cm="1">
        <f t="array" ref="D35">landKategori(Tabell3[[#This Row],[Land]])</f>
        <v>Övrigt</v>
      </c>
    </row>
    <row r="36" spans="1:4" x14ac:dyDescent="0.2">
      <c r="A36" s="7" t="s">
        <v>57</v>
      </c>
      <c r="B36" s="7" t="s">
        <v>58</v>
      </c>
      <c r="C36" s="8">
        <v>987100</v>
      </c>
      <c r="D36" s="9" t="str" cm="1">
        <f t="array" ref="D36">landKategori(Tabell3[[#This Row],[Land]])</f>
        <v>Övrigt</v>
      </c>
    </row>
    <row r="37" spans="1:4" x14ac:dyDescent="0.2">
      <c r="A37" s="7" t="s">
        <v>59</v>
      </c>
      <c r="B37" s="7" t="s">
        <v>14</v>
      </c>
      <c r="C37" s="8">
        <v>32100</v>
      </c>
      <c r="D37" s="9" t="str" cm="1">
        <f t="array" ref="D37">landKategori(Tabell3[[#This Row],[Land]])</f>
        <v>Övrigt</v>
      </c>
    </row>
    <row r="38" spans="1:4" x14ac:dyDescent="0.2">
      <c r="A38" s="7" t="s">
        <v>60</v>
      </c>
      <c r="B38" s="7" t="s">
        <v>9</v>
      </c>
      <c r="C38" s="8">
        <v>45000</v>
      </c>
      <c r="D38" s="9" t="str" cm="1">
        <f t="array" ref="D38">landKategori(Tabell3[[#This Row],[Land]])</f>
        <v>Övrigt</v>
      </c>
    </row>
    <row r="39" spans="1:4" x14ac:dyDescent="0.2">
      <c r="A39" s="7" t="s">
        <v>61</v>
      </c>
      <c r="B39" s="7" t="s">
        <v>19</v>
      </c>
      <c r="C39" s="8">
        <v>65800</v>
      </c>
      <c r="D39" s="9" t="str" cm="1">
        <f t="array" ref="D39">landKategori(Tabell3[[#This Row],[Land]])</f>
        <v>Övrigt</v>
      </c>
    </row>
    <row r="40" spans="1:4" x14ac:dyDescent="0.2">
      <c r="A40" s="7" t="s">
        <v>62</v>
      </c>
      <c r="B40" s="7" t="s">
        <v>19</v>
      </c>
      <c r="C40" s="8">
        <v>6500</v>
      </c>
      <c r="D40" s="9" t="str" cm="1">
        <f t="array" ref="D40">landKategori(Tabell3[[#This Row],[Land]])</f>
        <v>Övrigt</v>
      </c>
    </row>
    <row r="41" spans="1:4" ht="25.5" x14ac:dyDescent="0.2">
      <c r="A41" s="7" t="s">
        <v>63</v>
      </c>
      <c r="B41" s="7" t="s">
        <v>24</v>
      </c>
      <c r="C41" s="8">
        <v>32000</v>
      </c>
      <c r="D41" s="9" t="str" cm="1">
        <f t="array" ref="D41">landKategori(Tabell3[[#This Row],[Land]])</f>
        <v>Övrigt</v>
      </c>
    </row>
    <row r="42" spans="1:4" x14ac:dyDescent="0.2">
      <c r="A42" s="7" t="s">
        <v>64</v>
      </c>
      <c r="B42" s="7" t="s">
        <v>53</v>
      </c>
      <c r="C42" s="8">
        <v>89000</v>
      </c>
      <c r="D42" s="9" t="str" cm="1">
        <f t="array" ref="D42">landKategori(Tabell3[[#This Row],[Land]])</f>
        <v>Övrigt</v>
      </c>
    </row>
    <row r="43" spans="1:4" x14ac:dyDescent="0.2">
      <c r="A43" s="7" t="s">
        <v>65</v>
      </c>
      <c r="B43" s="7" t="s">
        <v>9</v>
      </c>
      <c r="C43" s="8">
        <v>7800</v>
      </c>
      <c r="D43" s="9" t="str" cm="1">
        <f t="array" ref="D43">landKategori(Tabell3[[#This Row],[Land]])</f>
        <v>Övrigt</v>
      </c>
    </row>
    <row r="44" spans="1:4" x14ac:dyDescent="0.2">
      <c r="A44" s="7" t="s">
        <v>66</v>
      </c>
      <c r="B44" s="7" t="s">
        <v>53</v>
      </c>
      <c r="C44" s="8">
        <v>65000</v>
      </c>
      <c r="D44" s="9" t="str" cm="1">
        <f t="array" ref="D44">landKategori(Tabell3[[#This Row],[Land]])</f>
        <v>Övrigt</v>
      </c>
    </row>
    <row r="45" spans="1:4" x14ac:dyDescent="0.2">
      <c r="A45" s="7" t="s">
        <v>67</v>
      </c>
      <c r="B45" s="7" t="s">
        <v>55</v>
      </c>
      <c r="C45" s="8">
        <v>6500</v>
      </c>
      <c r="D45" s="9" t="str" cm="1">
        <f t="array" ref="D45">landKategori(Tabell3[[#This Row],[Land]])</f>
        <v>Övrigt</v>
      </c>
    </row>
    <row r="46" spans="1:4" x14ac:dyDescent="0.2">
      <c r="A46" s="7" t="s">
        <v>68</v>
      </c>
      <c r="B46" s="7" t="s">
        <v>53</v>
      </c>
      <c r="C46" s="8">
        <v>1500</v>
      </c>
      <c r="D46" s="9" t="str" cm="1">
        <f t="array" ref="D46">landKategori(Tabell3[[#This Row],[Land]])</f>
        <v>Övrigt</v>
      </c>
    </row>
    <row r="47" spans="1:4" x14ac:dyDescent="0.2">
      <c r="A47" s="7" t="s">
        <v>69</v>
      </c>
      <c r="B47" s="7" t="s">
        <v>45</v>
      </c>
      <c r="C47" s="8">
        <v>65400</v>
      </c>
      <c r="D47" s="9" t="str" cm="1">
        <f t="array" ref="D47">landKategori(Tabell3[[#This Row],[Land]])</f>
        <v>Övrigt</v>
      </c>
    </row>
    <row r="48" spans="1:4" x14ac:dyDescent="0.2">
      <c r="A48" s="7" t="s">
        <v>70</v>
      </c>
      <c r="B48" s="7" t="s">
        <v>71</v>
      </c>
      <c r="C48" s="8">
        <v>89000</v>
      </c>
      <c r="D48" s="9" t="str" cm="1">
        <f t="array" ref="D48">landKategori(Tabell3[[#This Row],[Land]])</f>
        <v>Övrigt</v>
      </c>
    </row>
    <row r="49" spans="1:4" x14ac:dyDescent="0.2">
      <c r="A49" s="7" t="s">
        <v>72</v>
      </c>
      <c r="B49" s="7" t="s">
        <v>24</v>
      </c>
      <c r="C49" s="8">
        <v>78900</v>
      </c>
      <c r="D49" s="9" t="str" cm="1">
        <f t="array" ref="D49">landKategori(Tabell3[[#This Row],[Land]])</f>
        <v>Övrigt</v>
      </c>
    </row>
    <row r="50" spans="1:4" x14ac:dyDescent="0.2">
      <c r="A50" s="7" t="s">
        <v>73</v>
      </c>
      <c r="B50" s="7" t="s">
        <v>9</v>
      </c>
      <c r="C50" s="8">
        <v>2300</v>
      </c>
      <c r="D50" s="9" t="str" cm="1">
        <f t="array" ref="D50">landKategori(Tabell3[[#This Row],[Land]])</f>
        <v>Övrigt</v>
      </c>
    </row>
    <row r="51" spans="1:4" x14ac:dyDescent="0.2">
      <c r="A51" s="7" t="s">
        <v>74</v>
      </c>
      <c r="B51" s="7" t="s">
        <v>14</v>
      </c>
      <c r="C51" s="8">
        <v>2600</v>
      </c>
      <c r="D51" s="9" t="str" cm="1">
        <f t="array" ref="D51">landKategori(Tabell3[[#This Row],[Land]])</f>
        <v>Övrigt</v>
      </c>
    </row>
    <row r="52" spans="1:4" x14ac:dyDescent="0.2">
      <c r="A52" s="7" t="s">
        <v>75</v>
      </c>
      <c r="B52" s="7" t="s">
        <v>27</v>
      </c>
      <c r="C52" s="8">
        <v>4500</v>
      </c>
      <c r="D52" s="9" t="str" cm="1">
        <f t="array" ref="D52">landKategori(Tabell3[[#This Row],[Land]])</f>
        <v>Övrigt</v>
      </c>
    </row>
    <row r="53" spans="1:4" x14ac:dyDescent="0.2">
      <c r="A53" s="7" t="s">
        <v>76</v>
      </c>
      <c r="B53" s="7" t="s">
        <v>11</v>
      </c>
      <c r="C53" s="8">
        <v>9800</v>
      </c>
      <c r="D53" s="9" t="str" cm="1">
        <f t="array" ref="D53">landKategori(Tabell3[[#This Row],[Land]])</f>
        <v>Övrigt</v>
      </c>
    </row>
    <row r="54" spans="1:4" x14ac:dyDescent="0.2">
      <c r="A54" s="7" t="s">
        <v>77</v>
      </c>
      <c r="B54" s="7" t="s">
        <v>38</v>
      </c>
      <c r="C54" s="8">
        <v>2300</v>
      </c>
      <c r="D54" s="9" t="str" cm="1">
        <f t="array" ref="D54">landKategori(Tabell3[[#This Row],[Land]])</f>
        <v>Övrigt</v>
      </c>
    </row>
    <row r="55" spans="1:4" x14ac:dyDescent="0.2">
      <c r="A55" s="7" t="s">
        <v>78</v>
      </c>
      <c r="B55" s="7" t="s">
        <v>48</v>
      </c>
      <c r="C55" s="8">
        <v>1500</v>
      </c>
      <c r="D55" s="9" t="str" cm="1">
        <f t="array" ref="D55">landKategori(Tabell3[[#This Row],[Land]])</f>
        <v>Övrigt</v>
      </c>
    </row>
    <row r="56" spans="1:4" x14ac:dyDescent="0.2">
      <c r="A56" s="7" t="s">
        <v>79</v>
      </c>
      <c r="B56" s="7" t="s">
        <v>32</v>
      </c>
      <c r="C56" s="8">
        <v>4800</v>
      </c>
      <c r="D56" s="9" t="str" cm="1">
        <f t="array" ref="D56">landKategori(Tabell3[[#This Row],[Land]])</f>
        <v>Övrigt</v>
      </c>
    </row>
    <row r="57" spans="1:4" x14ac:dyDescent="0.2">
      <c r="A57" s="7" t="s">
        <v>80</v>
      </c>
      <c r="B57" s="7" t="s">
        <v>32</v>
      </c>
      <c r="C57" s="8">
        <v>98000</v>
      </c>
      <c r="D57" s="9" t="str" cm="1">
        <f t="array" ref="D57">landKategori(Tabell3[[#This Row],[Land]])</f>
        <v>Övrigt</v>
      </c>
    </row>
    <row r="58" spans="1:4" x14ac:dyDescent="0.2">
      <c r="A58" s="7" t="s">
        <v>81</v>
      </c>
      <c r="B58" s="7" t="s">
        <v>9</v>
      </c>
      <c r="C58" s="8">
        <v>32000</v>
      </c>
      <c r="D58" s="9" t="str" cm="1">
        <f t="array" ref="D58">landKategori(Tabell3[[#This Row],[Land]])</f>
        <v>Övrigt</v>
      </c>
    </row>
    <row r="59" spans="1:4" x14ac:dyDescent="0.2">
      <c r="A59" s="7" t="s">
        <v>82</v>
      </c>
      <c r="B59" s="7" t="s">
        <v>27</v>
      </c>
      <c r="C59" s="8">
        <v>1500</v>
      </c>
      <c r="D59" s="9" t="str" cm="1">
        <f t="array" ref="D59">landKategori(Tabell3[[#This Row],[Land]])</f>
        <v>Övrigt</v>
      </c>
    </row>
    <row r="60" spans="1:4" x14ac:dyDescent="0.2">
      <c r="A60" s="7" t="s">
        <v>83</v>
      </c>
      <c r="B60" s="7" t="s">
        <v>53</v>
      </c>
      <c r="C60" s="8">
        <v>871110</v>
      </c>
      <c r="D60" s="9" t="str" cm="1">
        <f t="array" ref="D60">landKategori(Tabell3[[#This Row],[Land]])</f>
        <v>Övrigt</v>
      </c>
    </row>
    <row r="61" spans="1:4" x14ac:dyDescent="0.2">
      <c r="A61" s="7" t="s">
        <v>84</v>
      </c>
      <c r="B61" s="7" t="s">
        <v>45</v>
      </c>
      <c r="C61" s="8">
        <v>3200</v>
      </c>
      <c r="D61" s="9" t="str" cm="1">
        <f t="array" ref="D61">landKategori(Tabell3[[#This Row],[Land]])</f>
        <v>Övrigt</v>
      </c>
    </row>
    <row r="62" spans="1:4" x14ac:dyDescent="0.2">
      <c r="A62" s="7" t="s">
        <v>85</v>
      </c>
      <c r="B62" s="7" t="s">
        <v>32</v>
      </c>
      <c r="C62" s="8">
        <v>98654</v>
      </c>
      <c r="D62" s="9" t="str" cm="1">
        <f t="array" ref="D62">landKategori(Tabell3[[#This Row],[Land]])</f>
        <v>Övrigt</v>
      </c>
    </row>
    <row r="63" spans="1:4" x14ac:dyDescent="0.2">
      <c r="A63" s="7" t="s">
        <v>86</v>
      </c>
      <c r="B63" s="7" t="s">
        <v>30</v>
      </c>
      <c r="C63" s="8">
        <v>45665</v>
      </c>
      <c r="D63" s="9" t="str" cm="1">
        <f t="array" ref="D63">landKategori(Tabell3[[#This Row],[Land]])</f>
        <v>Övrigt</v>
      </c>
    </row>
    <row r="64" spans="1:4" x14ac:dyDescent="0.2">
      <c r="A64" s="7" t="s">
        <v>87</v>
      </c>
      <c r="B64" s="7" t="s">
        <v>21</v>
      </c>
      <c r="C64" s="8">
        <v>32150</v>
      </c>
      <c r="D64" s="9" t="str" cm="1">
        <f t="array" ref="D64">landKategori(Tabell3[[#This Row],[Land]])</f>
        <v>Sydeuropa</v>
      </c>
    </row>
    <row r="65" spans="1:4" x14ac:dyDescent="0.2">
      <c r="A65" s="7" t="s">
        <v>88</v>
      </c>
      <c r="B65" s="7" t="s">
        <v>89</v>
      </c>
      <c r="C65" s="8">
        <v>6500</v>
      </c>
      <c r="D65" s="9" t="str" cm="1">
        <f t="array" ref="D65">landKategori(Tabell3[[#This Row],[Land]])</f>
        <v>Övrigt</v>
      </c>
    </row>
    <row r="66" spans="1:4" x14ac:dyDescent="0.2">
      <c r="A66" s="7" t="s">
        <v>90</v>
      </c>
      <c r="B66" s="7" t="s">
        <v>53</v>
      </c>
      <c r="C66" s="8">
        <v>9800</v>
      </c>
      <c r="D66" s="9" t="str" cm="1">
        <f t="array" ref="D66">landKategori(Tabell3[[#This Row],[Land]])</f>
        <v>Övrigt</v>
      </c>
    </row>
    <row r="67" spans="1:4" x14ac:dyDescent="0.2">
      <c r="A67" s="7" t="s">
        <v>91</v>
      </c>
      <c r="B67" s="7" t="s">
        <v>14</v>
      </c>
      <c r="C67" s="8">
        <v>7800</v>
      </c>
      <c r="D67" s="9" t="str" cm="1">
        <f t="array" ref="D67">landKategori(Tabell3[[#This Row],[Land]])</f>
        <v>Övrigt</v>
      </c>
    </row>
    <row r="68" spans="1:4" x14ac:dyDescent="0.2">
      <c r="A68" s="7" t="s">
        <v>92</v>
      </c>
      <c r="B68" s="7" t="s">
        <v>93</v>
      </c>
      <c r="C68" s="8">
        <v>9800</v>
      </c>
      <c r="D68" s="9" t="str" cm="1">
        <f t="array" ref="D68">landKategori(Tabell3[[#This Row],[Land]])</f>
        <v>Övrigt</v>
      </c>
    </row>
    <row r="69" spans="1:4" x14ac:dyDescent="0.2">
      <c r="A69" s="7" t="s">
        <v>94</v>
      </c>
      <c r="B69" s="7" t="s">
        <v>19</v>
      </c>
      <c r="C69" s="8">
        <v>65420</v>
      </c>
      <c r="D69" s="9" t="str" cm="1">
        <f t="array" ref="D69">landKategori(Tabell3[[#This Row],[Land]])</f>
        <v>Övrigt</v>
      </c>
    </row>
    <row r="70" spans="1:4" x14ac:dyDescent="0.2">
      <c r="A70" s="7" t="s">
        <v>95</v>
      </c>
      <c r="B70" s="7" t="s">
        <v>53</v>
      </c>
      <c r="C70" s="8">
        <v>32550</v>
      </c>
      <c r="D70" s="9" t="str" cm="1">
        <f t="array" ref="D70">landKategori(Tabell3[[#This Row],[Land]])</f>
        <v>Övrigt</v>
      </c>
    </row>
    <row r="71" spans="1:4" x14ac:dyDescent="0.2">
      <c r="A71" s="7" t="s">
        <v>96</v>
      </c>
      <c r="B71" s="7" t="s">
        <v>71</v>
      </c>
      <c r="C71" s="8">
        <v>3200</v>
      </c>
      <c r="D71" s="9" t="str" cm="1">
        <f t="array" ref="D71">landKategori(Tabell3[[#This Row],[Land]])</f>
        <v>Övrigt</v>
      </c>
    </row>
    <row r="72" spans="1:4" x14ac:dyDescent="0.2">
      <c r="A72" s="7" t="s">
        <v>97</v>
      </c>
      <c r="B72" s="7" t="s">
        <v>53</v>
      </c>
      <c r="C72" s="8">
        <v>6500</v>
      </c>
      <c r="D72" s="9" t="str" cm="1">
        <f t="array" ref="D72">landKategori(Tabell3[[#This Row],[Land]])</f>
        <v>Övrigt</v>
      </c>
    </row>
    <row r="73" spans="1:4" x14ac:dyDescent="0.2">
      <c r="A73" s="7" t="s">
        <v>98</v>
      </c>
      <c r="B73" s="7" t="s">
        <v>53</v>
      </c>
      <c r="C73" s="8">
        <v>4000</v>
      </c>
      <c r="D73" s="9" t="str" cm="1">
        <f t="array" ref="D73">landKategori(Tabell3[[#This Row],[Land]])</f>
        <v>Övrigt</v>
      </c>
    </row>
    <row r="74" spans="1:4" x14ac:dyDescent="0.2">
      <c r="A74" s="7" t="s">
        <v>99</v>
      </c>
      <c r="B74" s="7" t="s">
        <v>9</v>
      </c>
      <c r="C74" s="8">
        <v>9800</v>
      </c>
      <c r="D74" s="9" t="str" cm="1">
        <f t="array" ref="D74">landKategori(Tabell3[[#This Row],[Land]])</f>
        <v>Övrigt</v>
      </c>
    </row>
    <row r="75" spans="1:4" x14ac:dyDescent="0.2">
      <c r="A75" s="7" t="s">
        <v>100</v>
      </c>
      <c r="B75" s="7" t="s">
        <v>11</v>
      </c>
      <c r="C75" s="8">
        <v>4500</v>
      </c>
      <c r="D75" s="9" t="str" cm="1">
        <f t="array" ref="D75">landKategori(Tabell3[[#This Row],[Land]])</f>
        <v>Övrigt</v>
      </c>
    </row>
    <row r="76" spans="1:4" x14ac:dyDescent="0.2">
      <c r="A76" s="7" t="s">
        <v>101</v>
      </c>
      <c r="B76" s="7" t="s">
        <v>32</v>
      </c>
      <c r="C76" s="8">
        <v>87540</v>
      </c>
      <c r="D76" s="9" t="str" cm="1">
        <f t="array" ref="D76">landKategori(Tabell3[[#This Row],[Land]])</f>
        <v>Övrigt</v>
      </c>
    </row>
    <row r="77" spans="1:4" ht="25.5" x14ac:dyDescent="0.2">
      <c r="A77" s="7" t="s">
        <v>102</v>
      </c>
      <c r="B77" s="7" t="s">
        <v>53</v>
      </c>
      <c r="C77" s="8">
        <v>32000</v>
      </c>
      <c r="D77" s="9" t="str" cm="1">
        <f t="array" ref="D77">landKategori(Tabell3[[#This Row],[Land]])</f>
        <v>Övrigt</v>
      </c>
    </row>
    <row r="78" spans="1:4" x14ac:dyDescent="0.2">
      <c r="A78" s="7" t="s">
        <v>103</v>
      </c>
      <c r="B78" s="7" t="s">
        <v>93</v>
      </c>
      <c r="C78" s="8">
        <v>65000</v>
      </c>
      <c r="D78" s="9" t="str" cm="1">
        <f t="array" ref="D78">landKategori(Tabell3[[#This Row],[Land]])</f>
        <v>Övrigt</v>
      </c>
    </row>
    <row r="79" spans="1:4" x14ac:dyDescent="0.2">
      <c r="A79" s="7" t="s">
        <v>104</v>
      </c>
      <c r="B79" s="7" t="s">
        <v>105</v>
      </c>
      <c r="C79" s="8">
        <v>9870</v>
      </c>
      <c r="D79" s="9" t="str" cm="1">
        <f t="array" ref="D79">landKategori(Tabell3[[#This Row],[Land]])</f>
        <v>Övrigt</v>
      </c>
    </row>
    <row r="80" spans="1:4" x14ac:dyDescent="0.2">
      <c r="A80" s="7" t="s">
        <v>106</v>
      </c>
      <c r="B80" s="7" t="s">
        <v>32</v>
      </c>
      <c r="C80" s="8">
        <v>8000</v>
      </c>
      <c r="D80" s="9" t="str" cm="1">
        <f t="array" ref="D80">landKategori(Tabell3[[#This Row],[Land]])</f>
        <v>Övrigt</v>
      </c>
    </row>
    <row r="81" spans="1:4" x14ac:dyDescent="0.2">
      <c r="A81" s="7" t="s">
        <v>107</v>
      </c>
      <c r="B81" s="7" t="s">
        <v>53</v>
      </c>
      <c r="C81" s="8">
        <v>32000</v>
      </c>
      <c r="D81" s="9" t="str" cm="1">
        <f t="array" ref="D81">landKategori(Tabell3[[#This Row],[Land]])</f>
        <v>Övrigt</v>
      </c>
    </row>
    <row r="82" spans="1:4" x14ac:dyDescent="0.2">
      <c r="A82" s="7" t="s">
        <v>108</v>
      </c>
      <c r="B82" s="7" t="s">
        <v>19</v>
      </c>
      <c r="C82" s="8">
        <v>9800</v>
      </c>
      <c r="D82" s="9" t="str" cm="1">
        <f t="array" ref="D82">landKategori(Tabell3[[#This Row],[Land]])</f>
        <v>Övrigt</v>
      </c>
    </row>
    <row r="83" spans="1:4" x14ac:dyDescent="0.2">
      <c r="A83" s="7" t="s">
        <v>109</v>
      </c>
      <c r="B83" s="7" t="s">
        <v>105</v>
      </c>
      <c r="C83" s="8">
        <v>4500</v>
      </c>
      <c r="D83" s="9" t="str" cm="1">
        <f t="array" ref="D83">landKategori(Tabell3[[#This Row],[Land]])</f>
        <v>Övrigt</v>
      </c>
    </row>
    <row r="84" spans="1:4" x14ac:dyDescent="0.2">
      <c r="A84" s="7" t="s">
        <v>110</v>
      </c>
      <c r="B84" s="7" t="s">
        <v>19</v>
      </c>
      <c r="C84" s="8">
        <v>45000</v>
      </c>
      <c r="D84" s="9" t="str" cm="1">
        <f t="array" ref="D84">landKategori(Tabell3[[#This Row],[Land]])</f>
        <v>Övrigt</v>
      </c>
    </row>
    <row r="85" spans="1:4" x14ac:dyDescent="0.2">
      <c r="A85" s="7" t="s">
        <v>111</v>
      </c>
      <c r="B85" s="7" t="s">
        <v>112</v>
      </c>
      <c r="C85" s="8">
        <v>65000</v>
      </c>
      <c r="D85" s="9" t="str" cm="1">
        <f t="array" ref="D85">landKategori(Tabell3[[#This Row],[Land]])</f>
        <v>Övrigt</v>
      </c>
    </row>
  </sheetData>
  <pageMargins left="0.75" right="0.75" top="1" bottom="1" header="0.5" footer="0.5"/>
  <headerFooter alignWithMargins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5A226-0DDF-4B20-A315-2FE669DFC17F}">
  <sheetPr codeName="Blad2"/>
  <dimension ref="A1:G26"/>
  <sheetViews>
    <sheetView workbookViewId="0">
      <selection activeCell="M11" sqref="M11"/>
    </sheetView>
  </sheetViews>
  <sheetFormatPr defaultRowHeight="15" x14ac:dyDescent="0.25"/>
  <cols>
    <col min="1" max="1" width="27.42578125" customWidth="1"/>
    <col min="2" max="2" width="20.28515625" customWidth="1"/>
  </cols>
  <sheetData>
    <row r="1" spans="1:7" ht="23.25" x14ac:dyDescent="0.35">
      <c r="A1" s="15" t="s">
        <v>114</v>
      </c>
      <c r="B1" s="15"/>
      <c r="C1" s="1"/>
      <c r="D1" s="1"/>
      <c r="E1" s="1"/>
      <c r="F1" s="1"/>
      <c r="G1" s="1"/>
    </row>
    <row r="2" spans="1:7" ht="23.25" x14ac:dyDescent="0.35">
      <c r="A2" s="1"/>
      <c r="B2" s="1"/>
      <c r="C2" s="1"/>
      <c r="D2" s="1"/>
      <c r="E2" s="1"/>
      <c r="F2" s="1"/>
      <c r="G2" s="1"/>
    </row>
    <row r="3" spans="1:7" ht="23.25" x14ac:dyDescent="0.35">
      <c r="A3" s="1" t="s">
        <v>115</v>
      </c>
      <c r="B3" s="10">
        <v>43739</v>
      </c>
      <c r="C3" s="1"/>
      <c r="D3" s="1"/>
      <c r="E3" s="1"/>
      <c r="F3" s="1"/>
      <c r="G3" s="1"/>
    </row>
    <row r="4" spans="1:7" ht="23.25" x14ac:dyDescent="0.35">
      <c r="A4" s="1" t="s">
        <v>116</v>
      </c>
      <c r="B4" s="10">
        <v>43830</v>
      </c>
      <c r="C4" s="1"/>
      <c r="D4" s="1"/>
      <c r="E4" s="1"/>
      <c r="F4" s="1"/>
      <c r="G4" s="1"/>
    </row>
    <row r="5" spans="1:7" ht="23.25" x14ac:dyDescent="0.35">
      <c r="A5" s="1" t="s">
        <v>117</v>
      </c>
      <c r="B5" s="2">
        <v>3000</v>
      </c>
      <c r="C5" s="1"/>
      <c r="D5" s="1"/>
      <c r="E5" s="1"/>
      <c r="F5" s="1"/>
      <c r="G5" s="1"/>
    </row>
    <row r="6" spans="1:7" ht="23.25" x14ac:dyDescent="0.35">
      <c r="A6" s="1"/>
      <c r="B6" s="1"/>
      <c r="C6" s="1"/>
      <c r="D6" s="1"/>
      <c r="E6" s="1"/>
      <c r="F6" s="1"/>
      <c r="G6" s="1"/>
    </row>
    <row r="7" spans="1:7" ht="23.25" x14ac:dyDescent="0.35">
      <c r="A7" s="1" t="s">
        <v>118</v>
      </c>
      <c r="B7" s="11">
        <v>273000</v>
      </c>
      <c r="C7" s="1"/>
      <c r="D7" s="1"/>
      <c r="E7" s="1"/>
      <c r="F7" s="1"/>
      <c r="G7" s="1"/>
    </row>
    <row r="8" spans="1:7" ht="23.25" x14ac:dyDescent="0.35">
      <c r="A8" s="1" t="s">
        <v>7</v>
      </c>
      <c r="B8" s="11">
        <v>68250</v>
      </c>
      <c r="C8" s="1"/>
      <c r="D8" s="1"/>
      <c r="E8" s="1"/>
      <c r="F8" s="1"/>
      <c r="G8" s="1"/>
    </row>
    <row r="9" spans="1:7" ht="23.25" x14ac:dyDescent="0.35">
      <c r="A9" s="1" t="s">
        <v>119</v>
      </c>
      <c r="B9" s="11">
        <v>341250</v>
      </c>
      <c r="C9" s="1"/>
      <c r="D9" s="1"/>
      <c r="E9" s="1"/>
      <c r="F9" s="1"/>
      <c r="G9" s="1"/>
    </row>
    <row r="10" spans="1:7" ht="23.25" x14ac:dyDescent="0.35">
      <c r="A10" s="1"/>
      <c r="B10" s="1"/>
      <c r="C10" s="1"/>
      <c r="D10" s="1"/>
      <c r="E10" s="1"/>
      <c r="F10" s="1"/>
      <c r="G10" s="1"/>
    </row>
    <row r="11" spans="1:7" ht="23.25" x14ac:dyDescent="0.35">
      <c r="A11" s="1"/>
      <c r="B11" s="1"/>
      <c r="C11" s="1"/>
      <c r="D11" s="1"/>
      <c r="E11" s="1"/>
      <c r="F11" s="1"/>
      <c r="G11" s="1"/>
    </row>
    <row r="12" spans="1:7" ht="23.25" x14ac:dyDescent="0.35">
      <c r="A12" s="1"/>
      <c r="B12" s="1"/>
      <c r="C12" s="1"/>
      <c r="D12" s="1"/>
      <c r="E12" s="1"/>
      <c r="F12" s="1"/>
      <c r="G12" s="1"/>
    </row>
    <row r="13" spans="1:7" ht="23.25" x14ac:dyDescent="0.35">
      <c r="A13" s="1"/>
      <c r="B13" s="1"/>
      <c r="C13" s="1"/>
      <c r="D13" s="1"/>
      <c r="E13" s="1"/>
      <c r="F13" s="1"/>
      <c r="G13" s="1"/>
    </row>
    <row r="14" spans="1:7" ht="23.25" x14ac:dyDescent="0.35">
      <c r="A14" s="1"/>
      <c r="B14" s="1"/>
      <c r="C14" s="1"/>
      <c r="D14" s="1"/>
      <c r="E14" s="1"/>
      <c r="F14" s="1"/>
      <c r="G14" s="1"/>
    </row>
    <row r="15" spans="1:7" ht="23.25" x14ac:dyDescent="0.35">
      <c r="A15" s="1"/>
      <c r="B15" s="1"/>
      <c r="C15" s="1"/>
      <c r="D15" s="1"/>
      <c r="E15" s="1"/>
      <c r="F15" s="1"/>
      <c r="G15" s="1"/>
    </row>
    <row r="16" spans="1:7" ht="23.25" x14ac:dyDescent="0.35">
      <c r="A16" s="1"/>
      <c r="B16" s="1"/>
      <c r="C16" s="1"/>
      <c r="D16" s="1"/>
      <c r="E16" s="1"/>
      <c r="F16" s="1"/>
      <c r="G16" s="1"/>
    </row>
    <row r="17" spans="1:7" ht="23.25" x14ac:dyDescent="0.35">
      <c r="A17" s="1"/>
      <c r="B17" s="1"/>
      <c r="C17" s="1"/>
      <c r="D17" s="1"/>
      <c r="E17" s="1"/>
      <c r="F17" s="1"/>
      <c r="G17" s="1"/>
    </row>
    <row r="18" spans="1:7" ht="23.25" x14ac:dyDescent="0.35">
      <c r="A18" s="1"/>
      <c r="B18" s="1"/>
      <c r="C18" s="1"/>
      <c r="D18" s="1"/>
      <c r="E18" s="1"/>
      <c r="F18" s="1"/>
      <c r="G18" s="1"/>
    </row>
    <row r="19" spans="1:7" ht="23.25" x14ac:dyDescent="0.35">
      <c r="A19" s="1"/>
      <c r="B19" s="1"/>
      <c r="C19" s="1"/>
      <c r="D19" s="1"/>
      <c r="E19" s="1"/>
      <c r="F19" s="1"/>
      <c r="G19" s="1"/>
    </row>
    <row r="20" spans="1:7" ht="23.25" x14ac:dyDescent="0.35">
      <c r="A20" s="1"/>
      <c r="B20" s="1"/>
      <c r="C20" s="1"/>
      <c r="D20" s="1"/>
      <c r="E20" s="1"/>
      <c r="F20" s="1"/>
      <c r="G20" s="1"/>
    </row>
    <row r="21" spans="1:7" ht="23.25" x14ac:dyDescent="0.35">
      <c r="A21" s="1"/>
      <c r="B21" s="1"/>
      <c r="C21" s="1"/>
      <c r="D21" s="1"/>
      <c r="E21" s="1"/>
      <c r="F21" s="1"/>
      <c r="G21" s="1"/>
    </row>
    <row r="22" spans="1:7" ht="23.25" x14ac:dyDescent="0.35">
      <c r="A22" s="1"/>
      <c r="B22" s="1"/>
      <c r="C22" s="1"/>
      <c r="D22" s="1"/>
      <c r="E22" s="1"/>
      <c r="F22" s="1"/>
      <c r="G22" s="1"/>
    </row>
    <row r="23" spans="1:7" ht="23.25" x14ac:dyDescent="0.35">
      <c r="A23" s="1"/>
      <c r="B23" s="1"/>
      <c r="C23" s="1"/>
      <c r="D23" s="1"/>
      <c r="E23" s="1"/>
      <c r="F23" s="1"/>
      <c r="G23" s="1"/>
    </row>
    <row r="24" spans="1:7" ht="23.25" x14ac:dyDescent="0.35">
      <c r="A24" s="1"/>
      <c r="B24" s="1"/>
      <c r="C24" s="1"/>
      <c r="D24" s="1"/>
      <c r="E24" s="1"/>
      <c r="F24" s="1"/>
      <c r="G24" s="1"/>
    </row>
    <row r="25" spans="1:7" ht="23.25" x14ac:dyDescent="0.35">
      <c r="A25" s="1"/>
      <c r="B25" s="1"/>
      <c r="C25" s="1"/>
      <c r="D25" s="1"/>
      <c r="E25" s="1"/>
      <c r="F25" s="1"/>
      <c r="G25" s="1"/>
    </row>
    <row r="26" spans="1:7" ht="23.25" x14ac:dyDescent="0.35">
      <c r="A26" s="1"/>
      <c r="B26" s="1"/>
      <c r="C26" s="1"/>
      <c r="D26" s="1"/>
      <c r="E26" s="1"/>
      <c r="F26" s="1"/>
      <c r="G26" s="1"/>
    </row>
  </sheetData>
  <mergeCells count="1">
    <mergeCell ref="A1:B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bProjekt">
          <controlPr defaultSize="0" autoLine="0" r:id="rId5">
            <anchor moveWithCells="1">
              <from>
                <xdr:col>0</xdr:col>
                <xdr:colOff>1819275</xdr:colOff>
                <xdr:row>9</xdr:row>
                <xdr:rowOff>285750</xdr:rowOff>
              </from>
              <to>
                <xdr:col>1</xdr:col>
                <xdr:colOff>1343025</xdr:colOff>
                <xdr:row>12</xdr:row>
                <xdr:rowOff>19050</xdr:rowOff>
              </to>
            </anchor>
          </controlPr>
        </control>
      </mc:Choice>
      <mc:Fallback>
        <control shapeId="3073" r:id="rId4" name="cmbProjek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DEE00-7C23-48D9-97FA-A588829DD30E}">
  <sheetPr codeName="Blad4"/>
  <dimension ref="A1:C12"/>
  <sheetViews>
    <sheetView tabSelected="1" workbookViewId="0">
      <selection activeCell="C6" sqref="C6"/>
    </sheetView>
  </sheetViews>
  <sheetFormatPr defaultRowHeight="21" x14ac:dyDescent="0.35"/>
  <cols>
    <col min="1" max="1" width="23.85546875" style="12" bestFit="1" customWidth="1"/>
    <col min="2" max="2" width="18.85546875" style="12" bestFit="1" customWidth="1"/>
    <col min="3" max="3" width="18.42578125" style="12" customWidth="1"/>
    <col min="4" max="16384" width="9.140625" style="12"/>
  </cols>
  <sheetData>
    <row r="1" spans="1:3" ht="21.75" thickBot="1" x14ac:dyDescent="0.4">
      <c r="A1" s="12" t="s">
        <v>120</v>
      </c>
      <c r="B1" s="13"/>
      <c r="C1" s="14">
        <v>2503100</v>
      </c>
    </row>
    <row r="2" spans="1:3" x14ac:dyDescent="0.35">
      <c r="A2" s="12" t="s">
        <v>121</v>
      </c>
      <c r="B2" s="13">
        <v>2500000</v>
      </c>
      <c r="C2" s="13"/>
    </row>
    <row r="3" spans="1:3" x14ac:dyDescent="0.35">
      <c r="A3" s="12" t="s">
        <v>122</v>
      </c>
      <c r="B3" s="13">
        <v>3100</v>
      </c>
      <c r="C3" s="13"/>
    </row>
    <row r="4" spans="1:3" ht="21.75" thickBot="1" x14ac:dyDescent="0.4">
      <c r="B4" s="13"/>
    </row>
    <row r="5" spans="1:3" ht="21.75" thickBot="1" x14ac:dyDescent="0.4">
      <c r="A5" s="12" t="s">
        <v>123</v>
      </c>
      <c r="B5" s="13"/>
      <c r="C5" s="14">
        <v>2450000</v>
      </c>
    </row>
    <row r="6" spans="1:3" x14ac:dyDescent="0.35">
      <c r="A6" s="12" t="s">
        <v>124</v>
      </c>
      <c r="B6" s="13">
        <v>300000</v>
      </c>
      <c r="C6" s="13"/>
    </row>
    <row r="7" spans="1:3" x14ac:dyDescent="0.35">
      <c r="A7" s="12" t="s">
        <v>125</v>
      </c>
      <c r="B7" s="13">
        <v>1500000</v>
      </c>
      <c r="C7" s="13"/>
    </row>
    <row r="8" spans="1:3" x14ac:dyDescent="0.35">
      <c r="A8" s="12" t="s">
        <v>126</v>
      </c>
      <c r="B8" s="13">
        <v>650000</v>
      </c>
      <c r="C8" s="13"/>
    </row>
    <row r="9" spans="1:3" ht="21.75" thickBot="1" x14ac:dyDescent="0.4">
      <c r="B9" s="13"/>
      <c r="C9" s="13"/>
    </row>
    <row r="10" spans="1:3" ht="21.75" thickBot="1" x14ac:dyDescent="0.4">
      <c r="A10" s="12" t="s">
        <v>127</v>
      </c>
      <c r="B10" s="13"/>
      <c r="C10" s="14">
        <v>53100</v>
      </c>
    </row>
    <row r="11" spans="1:3" ht="21.75" thickBot="1" x14ac:dyDescent="0.4">
      <c r="A11" s="12" t="s">
        <v>128</v>
      </c>
      <c r="B11" s="13"/>
      <c r="C11" s="14">
        <v>11682</v>
      </c>
    </row>
    <row r="12" spans="1:3" ht="21.75" thickBot="1" x14ac:dyDescent="0.4">
      <c r="A12" s="12" t="s">
        <v>129</v>
      </c>
      <c r="B12" s="13"/>
      <c r="C12" s="14">
        <v>41418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bResultat">
          <controlPr defaultSize="0" autoLine="0" r:id="rId5">
            <anchor moveWithCells="1">
              <from>
                <xdr:col>1</xdr:col>
                <xdr:colOff>790575</xdr:colOff>
                <xdr:row>12</xdr:row>
                <xdr:rowOff>257175</xdr:rowOff>
              </from>
              <to>
                <xdr:col>2</xdr:col>
                <xdr:colOff>1076325</xdr:colOff>
                <xdr:row>15</xdr:row>
                <xdr:rowOff>123825</xdr:rowOff>
              </to>
            </anchor>
          </controlPr>
        </control>
      </mc:Choice>
      <mc:Fallback>
        <control shapeId="4097" r:id="rId4" name="cmbResultat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C71EBC-35EB-4647-B584-417E1A85960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8B386CB-B343-45E0-B032-D0157ACD29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AC9D154-E6C6-4ED0-B39C-F696D3709B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a43f9-ed03-448a-8f38-d6eeee3d8b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Funktion resekostnad</vt:lpstr>
      <vt:lpstr>Funktion land</vt:lpstr>
      <vt:lpstr>Procedur Projekt</vt:lpstr>
      <vt:lpstr>Procedur Resultat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LellesDator</dc:creator>
  <cp:lastModifiedBy>Daniel Frykman</cp:lastModifiedBy>
  <dcterms:created xsi:type="dcterms:W3CDTF">2019-05-16T19:13:36Z</dcterms:created>
  <dcterms:modified xsi:type="dcterms:W3CDTF">2021-03-05T11:17:51Z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