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og121-my.sharepoint.com/personal/daniel_f_prog121_onmicrosoft_com/Documents/VBA/Kursfiler/"/>
    </mc:Choice>
  </mc:AlternateContent>
  <xr:revisionPtr revIDLastSave="45" documentId="13_ncr:1_{266AF615-EEB1-421D-BCD1-949AA081DFC3}" xr6:coauthVersionLast="46" xr6:coauthVersionMax="46" xr10:uidLastSave="{E45BF381-B0A9-4E18-9293-AC16A67E1216}"/>
  <bookViews>
    <workbookView xWindow="1860" yWindow="1920" windowWidth="21600" windowHeight="11505" xr2:uid="{08D25C20-E800-4935-B8C3-46F434D83E1F}"/>
  </bookViews>
  <sheets>
    <sheet name="100 ljusstarkaste stjärnorna" sheetId="2" r:id="rId1"/>
    <sheet name="Urval" sheetId="1" r:id="rId2"/>
  </sheets>
  <definedNames>
    <definedName name="_xlnm._FilterDatabase" localSheetId="0" hidden="1">'100 ljusstarkaste stjärnorna'!$A$1:$H$101</definedName>
    <definedName name="_xlnm.Extract" localSheetId="0">'100 ljusstarkaste stjärnorna'!$K$1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1" i="2" l="1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<sst xmlns="http://schemas.openxmlformats.org/spreadsheetml/2006/main" count="654" uniqueCount="472">
  <si>
    <t>common name</t>
  </si>
  <si>
    <t>Vmag</t>
  </si>
  <si>
    <t>Abs Mag (visual)</t>
  </si>
  <si>
    <t>Distance (pc)</t>
  </si>
  <si>
    <t>Distance (Ly)</t>
  </si>
  <si>
    <t>B–V (mag)</t>
  </si>
  <si>
    <t>Spectral type</t>
  </si>
  <si>
    <t>Spectral class</t>
  </si>
  <si>
    <t>Sirius</t>
  </si>
  <si>
    <t>-1.44</t>
  </si>
  <si>
    <t>1.45</t>
  </si>
  <si>
    <t>0.009</t>
  </si>
  <si>
    <t>A0m</t>
  </si>
  <si>
    <t>A</t>
  </si>
  <si>
    <t>Canopus</t>
  </si>
  <si>
    <t>-0.62</t>
  </si>
  <si>
    <t>-5.53</t>
  </si>
  <si>
    <t>0.164</t>
  </si>
  <si>
    <t>F0Ib</t>
  </si>
  <si>
    <t>F</t>
  </si>
  <si>
    <t>Arcturus</t>
  </si>
  <si>
    <t>-0.05</t>
  </si>
  <si>
    <t>-0.31</t>
  </si>
  <si>
    <t>1.239</t>
  </si>
  <si>
    <t>K2IIIp</t>
  </si>
  <si>
    <t>K</t>
  </si>
  <si>
    <t>Rigil Kentaurus</t>
  </si>
  <si>
    <t>-0.01</t>
  </si>
  <si>
    <t>4.34</t>
  </si>
  <si>
    <t>0.71</t>
  </si>
  <si>
    <t>G2V</t>
  </si>
  <si>
    <t>G</t>
  </si>
  <si>
    <t>Vega</t>
  </si>
  <si>
    <t>0.03</t>
  </si>
  <si>
    <t>0.58</t>
  </si>
  <si>
    <t>-0.001</t>
  </si>
  <si>
    <t>A0Vvar</t>
  </si>
  <si>
    <t>Capella</t>
  </si>
  <si>
    <t>0.08</t>
  </si>
  <si>
    <t>-0.48</t>
  </si>
  <si>
    <t>0.795</t>
  </si>
  <si>
    <t>G5IIIe+G</t>
  </si>
  <si>
    <t>Rigel</t>
  </si>
  <si>
    <t>0.18</t>
  </si>
  <si>
    <t>-6.69</t>
  </si>
  <si>
    <t>-0.03</t>
  </si>
  <si>
    <t>B8Ia:</t>
  </si>
  <si>
    <t>B</t>
  </si>
  <si>
    <t>Procyon</t>
  </si>
  <si>
    <t>0.40</t>
  </si>
  <si>
    <t>2.68</t>
  </si>
  <si>
    <t>0.432</t>
  </si>
  <si>
    <t>F5IV-V</t>
  </si>
  <si>
    <t>Achernar</t>
  </si>
  <si>
    <t>0.45</t>
  </si>
  <si>
    <t>-2.77</t>
  </si>
  <si>
    <t>-0.158</t>
  </si>
  <si>
    <t>B3Vp</t>
  </si>
  <si>
    <t>Betelgeuse</t>
  </si>
  <si>
    <t>-5.14</t>
  </si>
  <si>
    <t>1.5</t>
  </si>
  <si>
    <t>M2Ib</t>
  </si>
  <si>
    <t>M</t>
  </si>
  <si>
    <t>Agena</t>
  </si>
  <si>
    <t>0.61</t>
  </si>
  <si>
    <t>-5.42</t>
  </si>
  <si>
    <t>-0.231</t>
  </si>
  <si>
    <t>B1III</t>
  </si>
  <si>
    <t>Altair</t>
  </si>
  <si>
    <t>0.76</t>
  </si>
  <si>
    <t>2.20</t>
  </si>
  <si>
    <t>0.221</t>
  </si>
  <si>
    <t>A7IV-V</t>
  </si>
  <si>
    <t>Acrux</t>
  </si>
  <si>
    <t>0.77</t>
  </si>
  <si>
    <t>-4.19</t>
  </si>
  <si>
    <t>-0.243</t>
  </si>
  <si>
    <t>B0.5IV</t>
  </si>
  <si>
    <t>Aldebaran</t>
  </si>
  <si>
    <t>0.87</t>
  </si>
  <si>
    <t>-0.63</t>
  </si>
  <si>
    <t>1.538</t>
  </si>
  <si>
    <t>K5III</t>
  </si>
  <si>
    <t>Spica</t>
  </si>
  <si>
    <t>0.98</t>
  </si>
  <si>
    <t>-3.55</t>
  </si>
  <si>
    <t>-0.235</t>
  </si>
  <si>
    <t>B1V</t>
  </si>
  <si>
    <t>Antares</t>
  </si>
  <si>
    <t>1.06</t>
  </si>
  <si>
    <t>-5.28</t>
  </si>
  <si>
    <t>1.865</t>
  </si>
  <si>
    <t>M1Ib+B2.</t>
  </si>
  <si>
    <t>Pollux</t>
  </si>
  <si>
    <t>1.16</t>
  </si>
  <si>
    <t>1.09</t>
  </si>
  <si>
    <t>0.991</t>
  </si>
  <si>
    <t>K0IIIvar</t>
  </si>
  <si>
    <t>Fomalhaut</t>
  </si>
  <si>
    <t>1.17</t>
  </si>
  <si>
    <t>1.74</t>
  </si>
  <si>
    <t>0.145</t>
  </si>
  <si>
    <t>A3V</t>
  </si>
  <si>
    <t>Becrux</t>
  </si>
  <si>
    <t>1.25</t>
  </si>
  <si>
    <t>-3.92</t>
  </si>
  <si>
    <t>-0.238</t>
  </si>
  <si>
    <t>B0.5III</t>
  </si>
  <si>
    <t>Deneb</t>
  </si>
  <si>
    <t>-8.73</t>
  </si>
  <si>
    <t>0.092</t>
  </si>
  <si>
    <t>A2Ia</t>
  </si>
  <si>
    <t>a Cen B</t>
  </si>
  <si>
    <t>1.35</t>
  </si>
  <si>
    <t>5.70</t>
  </si>
  <si>
    <t>0.9</t>
  </si>
  <si>
    <t>K1V</t>
  </si>
  <si>
    <t>Regulus</t>
  </si>
  <si>
    <t>1.36</t>
  </si>
  <si>
    <t>-0.52</t>
  </si>
  <si>
    <t>-0.087</t>
  </si>
  <si>
    <t>B7V</t>
  </si>
  <si>
    <t>Adara</t>
  </si>
  <si>
    <t>1.50</t>
  </si>
  <si>
    <t>-4.10</t>
  </si>
  <si>
    <t>-0.211</t>
  </si>
  <si>
    <t>B2II</t>
  </si>
  <si>
    <t>Castor</t>
  </si>
  <si>
    <t>1.58</t>
  </si>
  <si>
    <t>0.59</t>
  </si>
  <si>
    <t>0.034</t>
  </si>
  <si>
    <t>A2Vm</t>
  </si>
  <si>
    <t>Gacrux</t>
  </si>
  <si>
    <t>1.59</t>
  </si>
  <si>
    <t>-0.56</t>
  </si>
  <si>
    <t>1.6</t>
  </si>
  <si>
    <t>M4III</t>
  </si>
  <si>
    <t>Shaula</t>
  </si>
  <si>
    <t>1.62</t>
  </si>
  <si>
    <t>-5.05</t>
  </si>
  <si>
    <t>B1.5IV+B</t>
  </si>
  <si>
    <t>Bellatrix</t>
  </si>
  <si>
    <t>1.64</t>
  </si>
  <si>
    <t>-2.72</t>
  </si>
  <si>
    <t>-0.224</t>
  </si>
  <si>
    <t>B2III</t>
  </si>
  <si>
    <t>El Nath</t>
  </si>
  <si>
    <t>1.65</t>
  </si>
  <si>
    <t>-1.37</t>
  </si>
  <si>
    <t>-0.13</t>
  </si>
  <si>
    <t>B7III</t>
  </si>
  <si>
    <t>Miaplacidus</t>
  </si>
  <si>
    <t>1.67</t>
  </si>
  <si>
    <t>-0.99</t>
  </si>
  <si>
    <t>0.07</t>
  </si>
  <si>
    <t>A2IV</t>
  </si>
  <si>
    <t>Alnilam</t>
  </si>
  <si>
    <t>1.69</t>
  </si>
  <si>
    <t>-6.38</t>
  </si>
  <si>
    <t>-0.184</t>
  </si>
  <si>
    <t>B0Ia</t>
  </si>
  <si>
    <t>Al Nair</t>
  </si>
  <si>
    <t>1.73</t>
  </si>
  <si>
    <t>-0.73</t>
  </si>
  <si>
    <t>-0.07</t>
  </si>
  <si>
    <t>B7IV</t>
  </si>
  <si>
    <t>Alnitak</t>
  </si>
  <si>
    <t>-5.26</t>
  </si>
  <si>
    <t>-0.199</t>
  </si>
  <si>
    <t>O9.5Ib</t>
  </si>
  <si>
    <t>O</t>
  </si>
  <si>
    <t>Alsuhail</t>
  </si>
  <si>
    <t>1.75</t>
  </si>
  <si>
    <t>-5.31</t>
  </si>
  <si>
    <t>-0.145</t>
  </si>
  <si>
    <t>WC8+O9I</t>
  </si>
  <si>
    <t>W</t>
  </si>
  <si>
    <t>Alioth</t>
  </si>
  <si>
    <t>1.76</t>
  </si>
  <si>
    <t>-0.21</t>
  </si>
  <si>
    <t>-0.022</t>
  </si>
  <si>
    <t>A0p</t>
  </si>
  <si>
    <t>Algenib</t>
  </si>
  <si>
    <t>1.79</t>
  </si>
  <si>
    <t>-4.50</t>
  </si>
  <si>
    <t>0.481</t>
  </si>
  <si>
    <t>F5Ib</t>
  </si>
  <si>
    <t>Kaus Australis</t>
  </si>
  <si>
    <t>-0.031</t>
  </si>
  <si>
    <t>B9.5III</t>
  </si>
  <si>
    <t>Dubhe</t>
  </si>
  <si>
    <t>1.81</t>
  </si>
  <si>
    <t>-1.08</t>
  </si>
  <si>
    <t>1.061</t>
  </si>
  <si>
    <t>K0IIIa</t>
  </si>
  <si>
    <t>Wezen</t>
  </si>
  <si>
    <t>1.83</t>
  </si>
  <si>
    <t>-6.87</t>
  </si>
  <si>
    <t>0.671</t>
  </si>
  <si>
    <t>F8Ia</t>
  </si>
  <si>
    <t>Alkaid</t>
  </si>
  <si>
    <t>1.85</t>
  </si>
  <si>
    <t>-0.60</t>
  </si>
  <si>
    <t>-0.099</t>
  </si>
  <si>
    <t>B3V</t>
  </si>
  <si>
    <t>e Car</t>
  </si>
  <si>
    <t>1.86</t>
  </si>
  <si>
    <t>-4.58</t>
  </si>
  <si>
    <t>1.196</t>
  </si>
  <si>
    <t>K3III+B2</t>
  </si>
  <si>
    <t>q Sco</t>
  </si>
  <si>
    <t>-2.75</t>
  </si>
  <si>
    <t>0.406</t>
  </si>
  <si>
    <t>F1II</t>
  </si>
  <si>
    <t>Menkalinan</t>
  </si>
  <si>
    <t>1.90</t>
  </si>
  <si>
    <t>-0.10</t>
  </si>
  <si>
    <t>0.077</t>
  </si>
  <si>
    <t>A2V</t>
  </si>
  <si>
    <t>a TrA</t>
  </si>
  <si>
    <t>1.91</t>
  </si>
  <si>
    <t>-3.62</t>
  </si>
  <si>
    <t>1.447</t>
  </si>
  <si>
    <t>K2IIb-II</t>
  </si>
  <si>
    <t>Alhena</t>
  </si>
  <si>
    <t>1.93</t>
  </si>
  <si>
    <t>0.001</t>
  </si>
  <si>
    <t>A0IV</t>
  </si>
  <si>
    <t>Koo She</t>
  </si>
  <si>
    <t>0.043</t>
  </si>
  <si>
    <t>A1V</t>
  </si>
  <si>
    <t>a Pav</t>
  </si>
  <si>
    <t>1.94</t>
  </si>
  <si>
    <t>-1.81</t>
  </si>
  <si>
    <t>-0.118</t>
  </si>
  <si>
    <t>B2IV</t>
  </si>
  <si>
    <t>Polaris</t>
  </si>
  <si>
    <t>1.97</t>
  </si>
  <si>
    <t>-3.64</t>
  </si>
  <si>
    <t>0.636</t>
  </si>
  <si>
    <t>F7:Ib-II</t>
  </si>
  <si>
    <t>Mirzam</t>
  </si>
  <si>
    <t>1.98</t>
  </si>
  <si>
    <t>-3.95</t>
  </si>
  <si>
    <t>-0.24</t>
  </si>
  <si>
    <t>B1II/III</t>
  </si>
  <si>
    <t>Alphard</t>
  </si>
  <si>
    <t>1.99</t>
  </si>
  <si>
    <t>-1.69</t>
  </si>
  <si>
    <t>1.44</t>
  </si>
  <si>
    <t>K3III</t>
  </si>
  <si>
    <t>Hamal</t>
  </si>
  <si>
    <t>2.01</t>
  </si>
  <si>
    <t>0.48</t>
  </si>
  <si>
    <t>1.151</t>
  </si>
  <si>
    <t>K2III</t>
  </si>
  <si>
    <t>Algieba</t>
  </si>
  <si>
    <t>-0.92</t>
  </si>
  <si>
    <t>1.128</t>
  </si>
  <si>
    <t>K0III</t>
  </si>
  <si>
    <t>Deneb Kaitos</t>
  </si>
  <si>
    <t>2.04</t>
  </si>
  <si>
    <t>-0.30</t>
  </si>
  <si>
    <t>1.019</t>
  </si>
  <si>
    <t>Nunki</t>
  </si>
  <si>
    <t>2.05</t>
  </si>
  <si>
    <t>-2.14</t>
  </si>
  <si>
    <t>-0.134</t>
  </si>
  <si>
    <t>B2.5V</t>
  </si>
  <si>
    <t>q Cen</t>
  </si>
  <si>
    <t>2.06</t>
  </si>
  <si>
    <t>0.70</t>
  </si>
  <si>
    <t>1.011</t>
  </si>
  <si>
    <t>K0IIIb</t>
  </si>
  <si>
    <t>Alpheratz</t>
  </si>
  <si>
    <t>2.07</t>
  </si>
  <si>
    <t>-0.038</t>
  </si>
  <si>
    <t>B9p</t>
  </si>
  <si>
    <t>Saiph</t>
  </si>
  <si>
    <t>-6.98</t>
  </si>
  <si>
    <t>-0.168</t>
  </si>
  <si>
    <t>B0.5Iava</t>
  </si>
  <si>
    <t>Mirach</t>
  </si>
  <si>
    <t>-1.86</t>
  </si>
  <si>
    <t>1.576</t>
  </si>
  <si>
    <t>M0IIIvar</t>
  </si>
  <si>
    <t>Kochab</t>
  </si>
  <si>
    <t>-0.87</t>
  </si>
  <si>
    <t>1.465</t>
  </si>
  <si>
    <t>K4IIIvar</t>
  </si>
  <si>
    <t>Al Dhanab</t>
  </si>
  <si>
    <t>-1.52</t>
  </si>
  <si>
    <t>1.61</t>
  </si>
  <si>
    <t>M5III</t>
  </si>
  <si>
    <t>Ras Alhague</t>
  </si>
  <si>
    <t>2.08</t>
  </si>
  <si>
    <t>1.30</t>
  </si>
  <si>
    <t>0.155</t>
  </si>
  <si>
    <t>A5III</t>
  </si>
  <si>
    <t>Algol</t>
  </si>
  <si>
    <t>2.09</t>
  </si>
  <si>
    <t>-0.18</t>
  </si>
  <si>
    <t>-0.003</t>
  </si>
  <si>
    <t>B8V</t>
  </si>
  <si>
    <t>Alamak</t>
  </si>
  <si>
    <t>2.10</t>
  </si>
  <si>
    <t>-3.08</t>
  </si>
  <si>
    <t>1.37</t>
  </si>
  <si>
    <t>K3-IIb</t>
  </si>
  <si>
    <t>Denebola</t>
  </si>
  <si>
    <t>2.14</t>
  </si>
  <si>
    <t>1.92</t>
  </si>
  <si>
    <t>0.09</t>
  </si>
  <si>
    <t>A3Vvar</t>
  </si>
  <si>
    <t>Cih</t>
  </si>
  <si>
    <t>2.15</t>
  </si>
  <si>
    <t>-4.22</t>
  </si>
  <si>
    <t>-0.046</t>
  </si>
  <si>
    <t>B0IV:eva</t>
  </si>
  <si>
    <t>g Cen</t>
  </si>
  <si>
    <t>-0.81</t>
  </si>
  <si>
    <t>-0.023</t>
  </si>
  <si>
    <t>A1IV</t>
  </si>
  <si>
    <t>Naos</t>
  </si>
  <si>
    <t>2.21</t>
  </si>
  <si>
    <t>-5.95</t>
  </si>
  <si>
    <t>-0.269</t>
  </si>
  <si>
    <t>O5IAf</t>
  </si>
  <si>
    <t>Tureis</t>
  </si>
  <si>
    <t>-4.42</t>
  </si>
  <si>
    <t>0.189</t>
  </si>
  <si>
    <t>A8Ib</t>
  </si>
  <si>
    <t>Gemma</t>
  </si>
  <si>
    <t>2.22</t>
  </si>
  <si>
    <t>0.42</t>
  </si>
  <si>
    <t>0.032</t>
  </si>
  <si>
    <t>A0V</t>
  </si>
  <si>
    <t>l Vel</t>
  </si>
  <si>
    <t>2.23</t>
  </si>
  <si>
    <t>-3.99</t>
  </si>
  <si>
    <t>1.665</t>
  </si>
  <si>
    <t>K4Ib-II</t>
  </si>
  <si>
    <t>Mizar</t>
  </si>
  <si>
    <t>0.33</t>
  </si>
  <si>
    <t>0.057</t>
  </si>
  <si>
    <t>Sadr</t>
  </si>
  <si>
    <t>-6.12</t>
  </si>
  <si>
    <t>0.673</t>
  </si>
  <si>
    <t>F8Ib</t>
  </si>
  <si>
    <t>Schedar</t>
  </si>
  <si>
    <t>2.24</t>
  </si>
  <si>
    <t>-1.99</t>
  </si>
  <si>
    <t>K0II-III</t>
  </si>
  <si>
    <t>Eltanin</t>
  </si>
  <si>
    <t>-1.04</t>
  </si>
  <si>
    <t>1.521</t>
  </si>
  <si>
    <t>Mintaka</t>
  </si>
  <si>
    <t>2.25</t>
  </si>
  <si>
    <t>-4.99</t>
  </si>
  <si>
    <t>-0.175</t>
  </si>
  <si>
    <t>O9.5II</t>
  </si>
  <si>
    <t>Caph</t>
  </si>
  <si>
    <t>2.28</t>
  </si>
  <si>
    <t>0.38</t>
  </si>
  <si>
    <t>F2III-IV</t>
  </si>
  <si>
    <t>e Cen</t>
  </si>
  <si>
    <t>2.29</t>
  </si>
  <si>
    <t>-3.02</t>
  </si>
  <si>
    <t>-0.171</t>
  </si>
  <si>
    <t>Dschubba</t>
  </si>
  <si>
    <t>-3.16</t>
  </si>
  <si>
    <t>-0.117</t>
  </si>
  <si>
    <t>B0.2IV</t>
  </si>
  <si>
    <t>e Sco</t>
  </si>
  <si>
    <t>0.78</t>
  </si>
  <si>
    <t>1.144</t>
  </si>
  <si>
    <t>K2IIIb</t>
  </si>
  <si>
    <t>a Lup</t>
  </si>
  <si>
    <t>2.30</t>
  </si>
  <si>
    <t>-3.83</t>
  </si>
  <si>
    <t>-0.154</t>
  </si>
  <si>
    <t>B1.5III</t>
  </si>
  <si>
    <t>h Cen</t>
  </si>
  <si>
    <t>2.33</t>
  </si>
  <si>
    <t>-2.55</t>
  </si>
  <si>
    <t>-0.157</t>
  </si>
  <si>
    <t>B1Vn + A</t>
  </si>
  <si>
    <t>Merak</t>
  </si>
  <si>
    <t>2.34</t>
  </si>
  <si>
    <t>0.41</t>
  </si>
  <si>
    <t>0.033</t>
  </si>
  <si>
    <t>Izar</t>
  </si>
  <si>
    <t>2.35</t>
  </si>
  <si>
    <t>0.966</t>
  </si>
  <si>
    <t>G8II-III</t>
  </si>
  <si>
    <t>Enif</t>
  </si>
  <si>
    <t>2.38</t>
  </si>
  <si>
    <t>1.52</t>
  </si>
  <si>
    <t>K2Ibvar</t>
  </si>
  <si>
    <t>k Sco</t>
  </si>
  <si>
    <t>2.39</t>
  </si>
  <si>
    <t>-3.38</t>
  </si>
  <si>
    <t>Ankaa</t>
  </si>
  <si>
    <t>2.40</t>
  </si>
  <si>
    <t>0.52</t>
  </si>
  <si>
    <t>1.083</t>
  </si>
  <si>
    <t>Phecda</t>
  </si>
  <si>
    <t>2.41</t>
  </si>
  <si>
    <t>0.36</t>
  </si>
  <si>
    <t>0.044</t>
  </si>
  <si>
    <t>Sabik</t>
  </si>
  <si>
    <t>2.43</t>
  </si>
  <si>
    <t>0.37</t>
  </si>
  <si>
    <t>0.059</t>
  </si>
  <si>
    <t>A2.5Va</t>
  </si>
  <si>
    <t>Scheat</t>
  </si>
  <si>
    <t>2.44</t>
  </si>
  <si>
    <t>-1.49</t>
  </si>
  <si>
    <t>1.655</t>
  </si>
  <si>
    <t>M2II-III</t>
  </si>
  <si>
    <t>Alderamin</t>
  </si>
  <si>
    <t>2.45</t>
  </si>
  <si>
    <t>0.257</t>
  </si>
  <si>
    <t>h Cma</t>
  </si>
  <si>
    <t>-7.51</t>
  </si>
  <si>
    <t>-0.083</t>
  </si>
  <si>
    <t>B5Ia</t>
  </si>
  <si>
    <t>k Vel</t>
  </si>
  <si>
    <t>2.47</t>
  </si>
  <si>
    <t>-0.141</t>
  </si>
  <si>
    <t>Gienah</t>
  </si>
  <si>
    <t>2.48</t>
  </si>
  <si>
    <t>1.021</t>
  </si>
  <si>
    <t>Markab</t>
  </si>
  <si>
    <t>2.49</t>
  </si>
  <si>
    <t>-0.67</t>
  </si>
  <si>
    <t>-0.002</t>
  </si>
  <si>
    <t>Menkar</t>
  </si>
  <si>
    <t>2.54</t>
  </si>
  <si>
    <t>-1.61</t>
  </si>
  <si>
    <t>1.63</t>
  </si>
  <si>
    <t>M2III</t>
  </si>
  <si>
    <t>Han</t>
  </si>
  <si>
    <t>-3.20</t>
  </si>
  <si>
    <t>0.038</t>
  </si>
  <si>
    <t>O9.5V</t>
  </si>
  <si>
    <t>z Cen</t>
  </si>
  <si>
    <t>2.55</t>
  </si>
  <si>
    <t>-2.81</t>
  </si>
  <si>
    <t>-0.176</t>
  </si>
  <si>
    <t>B2.5IV</t>
  </si>
  <si>
    <t>Zosma</t>
  </si>
  <si>
    <t>2.56</t>
  </si>
  <si>
    <t>1.32</t>
  </si>
  <si>
    <t>0.128</t>
  </si>
  <si>
    <t>A4V</t>
  </si>
  <si>
    <t>Acrab</t>
  </si>
  <si>
    <t>-3.50</t>
  </si>
  <si>
    <t>-0.065</t>
  </si>
  <si>
    <t>B0.5V</t>
  </si>
  <si>
    <t>Arneb</t>
  </si>
  <si>
    <t>2.58</t>
  </si>
  <si>
    <t>-5.40</t>
  </si>
  <si>
    <t>0.211</t>
  </si>
  <si>
    <t>d Cen</t>
  </si>
  <si>
    <t>-2.84</t>
  </si>
  <si>
    <t>-0.128</t>
  </si>
  <si>
    <t>B2IVne</t>
  </si>
  <si>
    <t>Stjärna</t>
  </si>
  <si>
    <t>Avstånd (Ly)</t>
  </si>
  <si>
    <t>Antal stjärnor</t>
  </si>
  <si>
    <t>Vald spektralklass: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</si>
</sst>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0" xfId="1"/>
    <xf numFmtId="0" fontId="2" fillId="0" borderId="0" xfId="1" applyFont="1" applyAlignment="1">
      <alignment horizontal="left" wrapText="1"/>
    </xf>
    <xf numFmtId="0" fontId="2" fillId="0" borderId="0" xfId="1" applyFont="1" applyAlignment="1">
      <alignment horizontal="right" wrapText="1"/>
    </xf>
    <xf numFmtId="2" fontId="2" fillId="0" borderId="0" xfId="1" applyNumberFormat="1" applyFont="1" applyAlignment="1">
      <alignment horizontal="right" wrapText="1"/>
    </xf>
    <xf numFmtId="0" fontId="2" fillId="0" borderId="0" xfId="1" applyFont="1"/>
    <xf numFmtId="0" fontId="2" fillId="0" borderId="0" xfId="1" applyFont="1" applyAlignment="1">
      <alignment horizontal="right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right" vertical="center"/>
    </xf>
    <xf numFmtId="0" fontId="3" fillId="0" borderId="0" xfId="1" applyFont="1"/>
    <xf numFmtId="0" fontId="3" fillId="2" borderId="1" xfId="1" applyNumberFormat="1" applyFont="1" applyFill="1" applyBorder="1" applyAlignment="1">
      <alignment horizontal="center"/>
    </xf>
    <xf numFmtId="0" fontId="2" fillId="0" borderId="0" xfId="1" applyFont="1" applyAlignment="1">
      <alignment horizontal="center"/>
    </xf>
  </cellXfs>
  <cellStyles count="2">
    <cellStyle name="Normal" xfId="0" builtinId="0"/>
    <cellStyle name="Normal 2" xfId="1" xr:uid="{74B18966-C487-4141-AE90-DD7A41FC0246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2</xdr:row>
          <xdr:rowOff>38100</xdr:rowOff>
        </xdr:from>
        <xdr:to>
          <xdr:col>9</xdr:col>
          <xdr:colOff>495300</xdr:colOff>
          <xdr:row>13</xdr:row>
          <xdr:rowOff>85725</xdr:rowOff>
        </xdr:to>
        <xdr:sp macro="" textlink="">
          <xdr:nvSpPr>
            <xdr:cNvPr id="1025" name="lstKlass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1</xdr:row>
          <xdr:rowOff>0</xdr:rowOff>
        </xdr:from>
        <xdr:to>
          <xdr:col>9</xdr:col>
          <xdr:colOff>495300</xdr:colOff>
          <xdr:row>2</xdr:row>
          <xdr:rowOff>38100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12</xdr:row>
          <xdr:rowOff>104775</xdr:rowOff>
        </xdr:from>
        <xdr:to>
          <xdr:col>11</xdr:col>
          <xdr:colOff>1362075</xdr:colOff>
          <xdr:row>14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Beräkna antal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DCC71E-9273-4A44-AC3C-8F3FE6AEB4E6}" name="Tabell1" displayName="Tabell1" ref="A1:H101" totalsRowShown="0" headerRowDxfId="8">
  <tableColumns count="8">
    <tableColumn id="1" xr3:uid="{C149BB8F-5143-4AB8-9642-8ECE10EB8E5F}" name="common name" dataDxfId="7"/>
    <tableColumn id="2" xr3:uid="{E28ADFE0-E0C0-4734-9D5B-D30563C219C2}" name="Vmag" dataDxfId="6"/>
    <tableColumn id="3" xr3:uid="{DDE98395-2ECB-4DCA-A7D1-F25C5BBB8AA0}" name="Abs Mag (visual)" dataDxfId="5"/>
    <tableColumn id="4" xr3:uid="{C8435834-8B16-4D53-A068-4F648F6DB362}" name="Distance (pc)" dataDxfId="4"/>
    <tableColumn id="5" xr3:uid="{9834C036-0E48-4248-B3A8-3EF698CCAC17}" name="Distance (Ly)" dataDxfId="3">
      <calculatedColumnFormula>D2*3.26</calculatedColumnFormula>
    </tableColumn>
    <tableColumn id="6" xr3:uid="{142D7D1D-A9DE-4343-B7A9-A5C35426987B}" name="B–V (mag)" dataDxfId="2"/>
    <tableColumn id="7" xr3:uid="{4D1EB339-9B5C-4B27-A8D1-CC3C16B76B83}" name="Spectral type" dataDxfId="1"/>
    <tableColumn id="8" xr3:uid="{122E8136-EAC3-432A-AE56-F4C40D39024E}" name="Spectral class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C433F-0B4B-48AB-A1E8-A00404DF7D13}">
  <sheetPr codeName="Blad1"/>
  <dimension ref="A1:L101"/>
  <sheetViews>
    <sheetView tabSelected="1" topLeftCell="H1" workbookViewId="0">
      <selection activeCell="J17" sqref="J17"/>
    </sheetView>
  </sheetViews>
  <sheetFormatPr defaultColWidth="26.85546875" defaultRowHeight="15.75" x14ac:dyDescent="0.25"/>
  <cols>
    <col min="1" max="1" width="17.7109375" style="5" customWidth="1"/>
    <col min="2" max="2" width="8.5703125" style="5" customWidth="1"/>
    <col min="3" max="3" width="19.28515625" style="5" bestFit="1" customWidth="1"/>
    <col min="4" max="4" width="13.5703125" style="6" bestFit="1" customWidth="1"/>
    <col min="5" max="5" width="15.5703125" style="5" customWidth="1"/>
    <col min="6" max="6" width="13" style="5" customWidth="1"/>
    <col min="7" max="7" width="16.140625" style="5" customWidth="1"/>
    <col min="8" max="8" width="14.140625" style="5" bestFit="1" customWidth="1"/>
    <col min="9" max="10" width="26.85546875" style="1"/>
    <col min="11" max="11" width="14.140625" style="1" bestFit="1" customWidth="1"/>
    <col min="12" max="16384" width="26.85546875" style="1"/>
  </cols>
  <sheetData>
    <row r="1" spans="1:12" ht="16.5" thickBot="1" x14ac:dyDescent="0.3">
      <c r="A1" s="7" t="s">
        <v>0</v>
      </c>
      <c r="B1" s="7" t="s">
        <v>1</v>
      </c>
      <c r="C1" s="7" t="s">
        <v>2</v>
      </c>
      <c r="D1" s="8" t="s">
        <v>3</v>
      </c>
      <c r="E1" s="7" t="s">
        <v>4</v>
      </c>
      <c r="F1" s="7" t="s">
        <v>5</v>
      </c>
      <c r="G1" s="7" t="s">
        <v>6</v>
      </c>
      <c r="H1" s="9" t="s">
        <v>7</v>
      </c>
      <c r="K1" s="10" t="s">
        <v>7</v>
      </c>
      <c r="L1" s="10" t="s">
        <v>470</v>
      </c>
    </row>
    <row r="2" spans="1:12" x14ac:dyDescent="0.25">
      <c r="A2" s="2" t="s">
        <v>8</v>
      </c>
      <c r="B2" s="2" t="s">
        <v>9</v>
      </c>
      <c r="C2" s="2" t="s">
        <v>10</v>
      </c>
      <c r="D2" s="3">
        <v>2.64</v>
      </c>
      <c r="E2" s="4">
        <f>D2*3.26</f>
        <v>8.6064000000000007</v>
      </c>
      <c r="F2" s="2" t="s">
        <v>11</v>
      </c>
      <c r="G2" s="2" t="s">
        <v>12</v>
      </c>
      <c r="H2" s="5" t="s">
        <v>13</v>
      </c>
      <c r="K2" s="11" t="s">
        <v>13</v>
      </c>
      <c r="L2" s="1">
        <v>22</v>
      </c>
    </row>
    <row r="3" spans="1:12" x14ac:dyDescent="0.25">
      <c r="A3" s="2" t="s">
        <v>14</v>
      </c>
      <c r="B3" s="2" t="s">
        <v>15</v>
      </c>
      <c r="C3" s="2" t="s">
        <v>16</v>
      </c>
      <c r="D3" s="3">
        <v>95.88</v>
      </c>
      <c r="E3" s="4">
        <f t="shared" ref="E3:E66" si="0">D3*3.26</f>
        <v>312.56879999999995</v>
      </c>
      <c r="F3" s="2" t="s">
        <v>17</v>
      </c>
      <c r="G3" s="2" t="s">
        <v>18</v>
      </c>
      <c r="H3" s="5" t="s">
        <v>19</v>
      </c>
      <c r="K3" s="11" t="s">
        <v>47</v>
      </c>
      <c r="L3" s="1">
        <v>33</v>
      </c>
    </row>
    <row r="4" spans="1:12" x14ac:dyDescent="0.25">
      <c r="A4" s="2" t="s">
        <v>20</v>
      </c>
      <c r="B4" s="2" t="s">
        <v>21</v>
      </c>
      <c r="C4" s="2" t="s">
        <v>22</v>
      </c>
      <c r="D4" s="3">
        <v>11.25</v>
      </c>
      <c r="E4" s="4">
        <f t="shared" si="0"/>
        <v>36.674999999999997</v>
      </c>
      <c r="F4" s="2" t="s">
        <v>23</v>
      </c>
      <c r="G4" s="2" t="s">
        <v>24</v>
      </c>
      <c r="H4" s="5" t="s">
        <v>25</v>
      </c>
      <c r="K4" s="11" t="s">
        <v>19</v>
      </c>
      <c r="L4" s="1">
        <v>9</v>
      </c>
    </row>
    <row r="5" spans="1:12" x14ac:dyDescent="0.25">
      <c r="A5" s="2" t="s">
        <v>26</v>
      </c>
      <c r="B5" s="2" t="s">
        <v>27</v>
      </c>
      <c r="C5" s="2" t="s">
        <v>28</v>
      </c>
      <c r="D5" s="3">
        <v>1.35</v>
      </c>
      <c r="E5" s="4">
        <f t="shared" si="0"/>
        <v>4.4009999999999998</v>
      </c>
      <c r="F5" s="2" t="s">
        <v>29</v>
      </c>
      <c r="G5" s="2" t="s">
        <v>30</v>
      </c>
      <c r="H5" s="5" t="s">
        <v>31</v>
      </c>
      <c r="K5" s="11" t="s">
        <v>31</v>
      </c>
      <c r="L5" s="1">
        <v>3</v>
      </c>
    </row>
    <row r="6" spans="1:12" x14ac:dyDescent="0.25">
      <c r="A6" s="2" t="s">
        <v>32</v>
      </c>
      <c r="B6" s="2" t="s">
        <v>33</v>
      </c>
      <c r="C6" s="2" t="s">
        <v>34</v>
      </c>
      <c r="D6" s="3">
        <v>7.76</v>
      </c>
      <c r="E6" s="4">
        <f t="shared" si="0"/>
        <v>25.297599999999999</v>
      </c>
      <c r="F6" s="2" t="s">
        <v>35</v>
      </c>
      <c r="G6" s="2" t="s">
        <v>36</v>
      </c>
      <c r="H6" s="5" t="s">
        <v>13</v>
      </c>
      <c r="K6" s="11" t="s">
        <v>25</v>
      </c>
      <c r="L6" s="1">
        <v>21</v>
      </c>
    </row>
    <row r="7" spans="1:12" x14ac:dyDescent="0.25">
      <c r="A7" s="2" t="s">
        <v>37</v>
      </c>
      <c r="B7" s="2" t="s">
        <v>38</v>
      </c>
      <c r="C7" s="2" t="s">
        <v>39</v>
      </c>
      <c r="D7" s="3">
        <v>12.94</v>
      </c>
      <c r="E7" s="4">
        <f t="shared" si="0"/>
        <v>42.184399999999997</v>
      </c>
      <c r="F7" s="2" t="s">
        <v>40</v>
      </c>
      <c r="G7" s="2" t="s">
        <v>41</v>
      </c>
      <c r="H7" s="5" t="s">
        <v>31</v>
      </c>
      <c r="K7" s="11" t="s">
        <v>62</v>
      </c>
      <c r="L7" s="1">
        <v>7</v>
      </c>
    </row>
    <row r="8" spans="1:12" x14ac:dyDescent="0.25">
      <c r="A8" s="2" t="s">
        <v>42</v>
      </c>
      <c r="B8" s="2" t="s">
        <v>43</v>
      </c>
      <c r="C8" s="2" t="s">
        <v>44</v>
      </c>
      <c r="D8" s="3">
        <v>236.97</v>
      </c>
      <c r="E8" s="4">
        <f t="shared" si="0"/>
        <v>772.5222</v>
      </c>
      <c r="F8" s="2" t="s">
        <v>45</v>
      </c>
      <c r="G8" s="2" t="s">
        <v>46</v>
      </c>
      <c r="H8" s="5" t="s">
        <v>47</v>
      </c>
      <c r="K8" s="11" t="s">
        <v>170</v>
      </c>
      <c r="L8" s="1">
        <v>4</v>
      </c>
    </row>
    <row r="9" spans="1:12" x14ac:dyDescent="0.25">
      <c r="A9" s="2" t="s">
        <v>48</v>
      </c>
      <c r="B9" s="2" t="s">
        <v>49</v>
      </c>
      <c r="C9" s="2" t="s">
        <v>50</v>
      </c>
      <c r="D9" s="3">
        <v>3.5</v>
      </c>
      <c r="E9" s="4">
        <f t="shared" si="0"/>
        <v>11.41</v>
      </c>
      <c r="F9" s="2" t="s">
        <v>51</v>
      </c>
      <c r="G9" s="2" t="s">
        <v>52</v>
      </c>
      <c r="H9" s="5" t="s">
        <v>19</v>
      </c>
      <c r="K9" s="11" t="s">
        <v>176</v>
      </c>
      <c r="L9" s="1">
        <v>1</v>
      </c>
    </row>
    <row r="10" spans="1:12" x14ac:dyDescent="0.25">
      <c r="A10" s="2" t="s">
        <v>53</v>
      </c>
      <c r="B10" s="2" t="s">
        <v>54</v>
      </c>
      <c r="C10" s="2" t="s">
        <v>55</v>
      </c>
      <c r="D10" s="3">
        <v>44.09</v>
      </c>
      <c r="E10" s="4">
        <f t="shared" si="0"/>
        <v>143.73339999999999</v>
      </c>
      <c r="F10" s="2" t="s">
        <v>56</v>
      </c>
      <c r="G10" s="2" t="s">
        <v>57</v>
      </c>
      <c r="H10" s="5" t="s">
        <v>47</v>
      </c>
    </row>
    <row r="11" spans="1:12" x14ac:dyDescent="0.25">
      <c r="A11" s="2" t="s">
        <v>58</v>
      </c>
      <c r="B11" s="2" t="s">
        <v>54</v>
      </c>
      <c r="C11" s="2" t="s">
        <v>59</v>
      </c>
      <c r="D11" s="3">
        <v>131.06</v>
      </c>
      <c r="E11" s="4">
        <f t="shared" si="0"/>
        <v>427.25559999999996</v>
      </c>
      <c r="F11" s="2" t="s">
        <v>60</v>
      </c>
      <c r="G11" s="2" t="s">
        <v>61</v>
      </c>
      <c r="H11" s="5" t="s">
        <v>62</v>
      </c>
    </row>
    <row r="12" spans="1:12" x14ac:dyDescent="0.25">
      <c r="A12" s="2" t="s">
        <v>63</v>
      </c>
      <c r="B12" s="2" t="s">
        <v>64</v>
      </c>
      <c r="C12" s="2" t="s">
        <v>65</v>
      </c>
      <c r="D12" s="3">
        <v>161.03</v>
      </c>
      <c r="E12" s="4">
        <f t="shared" si="0"/>
        <v>524.95780000000002</v>
      </c>
      <c r="F12" s="2" t="s">
        <v>66</v>
      </c>
      <c r="G12" s="2" t="s">
        <v>67</v>
      </c>
      <c r="H12" s="5" t="s">
        <v>47</v>
      </c>
    </row>
    <row r="13" spans="1:12" x14ac:dyDescent="0.25">
      <c r="A13" s="2" t="s">
        <v>68</v>
      </c>
      <c r="B13" s="2" t="s">
        <v>69</v>
      </c>
      <c r="C13" s="2" t="s">
        <v>70</v>
      </c>
      <c r="D13" s="3">
        <v>5.14</v>
      </c>
      <c r="E13" s="4">
        <f t="shared" si="0"/>
        <v>16.756399999999999</v>
      </c>
      <c r="F13" s="2" t="s">
        <v>71</v>
      </c>
      <c r="G13" s="2" t="s">
        <v>72</v>
      </c>
      <c r="H13" s="5" t="s">
        <v>13</v>
      </c>
    </row>
    <row r="14" spans="1:12" x14ac:dyDescent="0.25">
      <c r="A14" s="2" t="s">
        <v>73</v>
      </c>
      <c r="B14" s="2" t="s">
        <v>74</v>
      </c>
      <c r="C14" s="2" t="s">
        <v>75</v>
      </c>
      <c r="D14" s="3">
        <v>98.33</v>
      </c>
      <c r="E14" s="4">
        <f t="shared" si="0"/>
        <v>320.55579999999998</v>
      </c>
      <c r="F14" s="2" t="s">
        <v>76</v>
      </c>
      <c r="G14" s="2" t="s">
        <v>77</v>
      </c>
      <c r="H14" s="5" t="s">
        <v>47</v>
      </c>
    </row>
    <row r="15" spans="1:12" x14ac:dyDescent="0.25">
      <c r="A15" s="2" t="s">
        <v>78</v>
      </c>
      <c r="B15" s="2" t="s">
        <v>79</v>
      </c>
      <c r="C15" s="2" t="s">
        <v>80</v>
      </c>
      <c r="D15" s="3">
        <v>19.96</v>
      </c>
      <c r="E15" s="4">
        <f t="shared" si="0"/>
        <v>65.069599999999994</v>
      </c>
      <c r="F15" s="2" t="s">
        <v>81</v>
      </c>
      <c r="G15" s="2" t="s">
        <v>82</v>
      </c>
      <c r="H15" s="5" t="s">
        <v>25</v>
      </c>
    </row>
    <row r="16" spans="1:12" x14ac:dyDescent="0.25">
      <c r="A16" s="2" t="s">
        <v>83</v>
      </c>
      <c r="B16" s="2" t="s">
        <v>84</v>
      </c>
      <c r="C16" s="2" t="s">
        <v>85</v>
      </c>
      <c r="D16" s="3">
        <v>80.39</v>
      </c>
      <c r="E16" s="4">
        <f t="shared" si="0"/>
        <v>262.07139999999998</v>
      </c>
      <c r="F16" s="2" t="s">
        <v>86</v>
      </c>
      <c r="G16" s="2" t="s">
        <v>87</v>
      </c>
      <c r="H16" s="5" t="s">
        <v>47</v>
      </c>
    </row>
    <row r="17" spans="1:8" x14ac:dyDescent="0.25">
      <c r="A17" s="2" t="s">
        <v>88</v>
      </c>
      <c r="B17" s="2" t="s">
        <v>89</v>
      </c>
      <c r="C17" s="2" t="s">
        <v>90</v>
      </c>
      <c r="D17" s="3">
        <v>185.19</v>
      </c>
      <c r="E17" s="4">
        <f t="shared" si="0"/>
        <v>603.71939999999995</v>
      </c>
      <c r="F17" s="2" t="s">
        <v>91</v>
      </c>
      <c r="G17" s="2" t="s">
        <v>92</v>
      </c>
      <c r="H17" s="5" t="s">
        <v>62</v>
      </c>
    </row>
    <row r="18" spans="1:8" x14ac:dyDescent="0.25">
      <c r="A18" s="2" t="s">
        <v>93</v>
      </c>
      <c r="B18" s="2" t="s">
        <v>94</v>
      </c>
      <c r="C18" s="2" t="s">
        <v>95</v>
      </c>
      <c r="D18" s="3">
        <v>10.34</v>
      </c>
      <c r="E18" s="4">
        <f t="shared" si="0"/>
        <v>33.708399999999997</v>
      </c>
      <c r="F18" s="2" t="s">
        <v>96</v>
      </c>
      <c r="G18" s="2" t="s">
        <v>97</v>
      </c>
      <c r="H18" s="5" t="s">
        <v>25</v>
      </c>
    </row>
    <row r="19" spans="1:8" x14ac:dyDescent="0.25">
      <c r="A19" s="2" t="s">
        <v>98</v>
      </c>
      <c r="B19" s="2" t="s">
        <v>99</v>
      </c>
      <c r="C19" s="2" t="s">
        <v>100</v>
      </c>
      <c r="D19" s="3">
        <v>7.69</v>
      </c>
      <c r="E19" s="4">
        <f t="shared" si="0"/>
        <v>25.069399999999998</v>
      </c>
      <c r="F19" s="2" t="s">
        <v>101</v>
      </c>
      <c r="G19" s="2" t="s">
        <v>102</v>
      </c>
      <c r="H19" s="5" t="s">
        <v>13</v>
      </c>
    </row>
    <row r="20" spans="1:8" x14ac:dyDescent="0.25">
      <c r="A20" s="2" t="s">
        <v>103</v>
      </c>
      <c r="B20" s="2" t="s">
        <v>104</v>
      </c>
      <c r="C20" s="2" t="s">
        <v>105</v>
      </c>
      <c r="D20" s="3">
        <v>108.11</v>
      </c>
      <c r="E20" s="4">
        <f t="shared" si="0"/>
        <v>352.43859999999995</v>
      </c>
      <c r="F20" s="2" t="s">
        <v>106</v>
      </c>
      <c r="G20" s="2" t="s">
        <v>107</v>
      </c>
      <c r="H20" s="5" t="s">
        <v>47</v>
      </c>
    </row>
    <row r="21" spans="1:8" x14ac:dyDescent="0.25">
      <c r="A21" s="2" t="s">
        <v>108</v>
      </c>
      <c r="B21" s="2" t="s">
        <v>104</v>
      </c>
      <c r="C21" s="2" t="s">
        <v>109</v>
      </c>
      <c r="D21" s="3">
        <v>990.1</v>
      </c>
      <c r="E21" s="4">
        <f t="shared" si="0"/>
        <v>3227.7259999999997</v>
      </c>
      <c r="F21" s="2" t="s">
        <v>110</v>
      </c>
      <c r="G21" s="2" t="s">
        <v>111</v>
      </c>
      <c r="H21" s="5" t="s">
        <v>13</v>
      </c>
    </row>
    <row r="22" spans="1:8" x14ac:dyDescent="0.25">
      <c r="A22" s="2" t="s">
        <v>112</v>
      </c>
      <c r="B22" s="2" t="s">
        <v>113</v>
      </c>
      <c r="C22" s="2" t="s">
        <v>114</v>
      </c>
      <c r="D22" s="3">
        <v>1.35</v>
      </c>
      <c r="E22" s="4">
        <f t="shared" si="0"/>
        <v>4.4009999999999998</v>
      </c>
      <c r="F22" s="2" t="s">
        <v>115</v>
      </c>
      <c r="G22" s="2" t="s">
        <v>116</v>
      </c>
      <c r="H22" s="5" t="s">
        <v>25</v>
      </c>
    </row>
    <row r="23" spans="1:8" x14ac:dyDescent="0.25">
      <c r="A23" s="2" t="s">
        <v>117</v>
      </c>
      <c r="B23" s="2" t="s">
        <v>118</v>
      </c>
      <c r="C23" s="2" t="s">
        <v>119</v>
      </c>
      <c r="D23" s="3">
        <v>23.76</v>
      </c>
      <c r="E23" s="4">
        <f t="shared" si="0"/>
        <v>77.457599999999999</v>
      </c>
      <c r="F23" s="2" t="s">
        <v>120</v>
      </c>
      <c r="G23" s="2" t="s">
        <v>121</v>
      </c>
      <c r="H23" s="5" t="s">
        <v>47</v>
      </c>
    </row>
    <row r="24" spans="1:8" x14ac:dyDescent="0.25">
      <c r="A24" s="2" t="s">
        <v>122</v>
      </c>
      <c r="B24" s="2" t="s">
        <v>123</v>
      </c>
      <c r="C24" s="2" t="s">
        <v>124</v>
      </c>
      <c r="D24" s="3">
        <v>132.1</v>
      </c>
      <c r="E24" s="4">
        <f t="shared" si="0"/>
        <v>430.64599999999996</v>
      </c>
      <c r="F24" s="2" t="s">
        <v>125</v>
      </c>
      <c r="G24" s="2" t="s">
        <v>126</v>
      </c>
      <c r="H24" s="5" t="s">
        <v>47</v>
      </c>
    </row>
    <row r="25" spans="1:8" x14ac:dyDescent="0.25">
      <c r="A25" s="2" t="s">
        <v>127</v>
      </c>
      <c r="B25" s="2" t="s">
        <v>128</v>
      </c>
      <c r="C25" s="2" t="s">
        <v>129</v>
      </c>
      <c r="D25" s="3">
        <v>15.81</v>
      </c>
      <c r="E25" s="4">
        <f t="shared" si="0"/>
        <v>51.540599999999998</v>
      </c>
      <c r="F25" s="2" t="s">
        <v>130</v>
      </c>
      <c r="G25" s="2" t="s">
        <v>131</v>
      </c>
      <c r="H25" s="5" t="s">
        <v>13</v>
      </c>
    </row>
    <row r="26" spans="1:8" x14ac:dyDescent="0.25">
      <c r="A26" s="2" t="s">
        <v>132</v>
      </c>
      <c r="B26" s="2" t="s">
        <v>133</v>
      </c>
      <c r="C26" s="2" t="s">
        <v>134</v>
      </c>
      <c r="D26" s="3">
        <v>26.96</v>
      </c>
      <c r="E26" s="4">
        <f t="shared" si="0"/>
        <v>87.889600000000002</v>
      </c>
      <c r="F26" s="2" t="s">
        <v>135</v>
      </c>
      <c r="G26" s="2" t="s">
        <v>136</v>
      </c>
      <c r="H26" s="5" t="s">
        <v>62</v>
      </c>
    </row>
    <row r="27" spans="1:8" x14ac:dyDescent="0.25">
      <c r="A27" s="2" t="s">
        <v>137</v>
      </c>
      <c r="B27" s="2" t="s">
        <v>138</v>
      </c>
      <c r="C27" s="2" t="s">
        <v>139</v>
      </c>
      <c r="D27" s="3">
        <v>215.52</v>
      </c>
      <c r="E27" s="4">
        <f t="shared" si="0"/>
        <v>702.59519999999998</v>
      </c>
      <c r="F27" s="2" t="s">
        <v>66</v>
      </c>
      <c r="G27" s="2" t="s">
        <v>140</v>
      </c>
      <c r="H27" s="5" t="s">
        <v>47</v>
      </c>
    </row>
    <row r="28" spans="1:8" x14ac:dyDescent="0.25">
      <c r="A28" s="2" t="s">
        <v>141</v>
      </c>
      <c r="B28" s="2" t="s">
        <v>142</v>
      </c>
      <c r="C28" s="2" t="s">
        <v>143</v>
      </c>
      <c r="D28" s="3">
        <v>74.52</v>
      </c>
      <c r="E28" s="4">
        <f t="shared" si="0"/>
        <v>242.93519999999998</v>
      </c>
      <c r="F28" s="2" t="s">
        <v>144</v>
      </c>
      <c r="G28" s="2" t="s">
        <v>145</v>
      </c>
      <c r="H28" s="5" t="s">
        <v>47</v>
      </c>
    </row>
    <row r="29" spans="1:8" x14ac:dyDescent="0.25">
      <c r="A29" s="2" t="s">
        <v>146</v>
      </c>
      <c r="B29" s="2" t="s">
        <v>147</v>
      </c>
      <c r="C29" s="2" t="s">
        <v>148</v>
      </c>
      <c r="D29" s="3">
        <v>40.18</v>
      </c>
      <c r="E29" s="4">
        <f t="shared" si="0"/>
        <v>130.98679999999999</v>
      </c>
      <c r="F29" s="2" t="s">
        <v>149</v>
      </c>
      <c r="G29" s="2" t="s">
        <v>150</v>
      </c>
      <c r="H29" s="5" t="s">
        <v>47</v>
      </c>
    </row>
    <row r="30" spans="1:8" x14ac:dyDescent="0.25">
      <c r="A30" s="2" t="s">
        <v>151</v>
      </c>
      <c r="B30" s="2" t="s">
        <v>152</v>
      </c>
      <c r="C30" s="2" t="s">
        <v>153</v>
      </c>
      <c r="D30" s="3">
        <v>34.08</v>
      </c>
      <c r="E30" s="4">
        <f t="shared" si="0"/>
        <v>111.10079999999999</v>
      </c>
      <c r="F30" s="2" t="s">
        <v>154</v>
      </c>
      <c r="G30" s="2" t="s">
        <v>155</v>
      </c>
      <c r="H30" s="5" t="s">
        <v>13</v>
      </c>
    </row>
    <row r="31" spans="1:8" x14ac:dyDescent="0.25">
      <c r="A31" s="2" t="s">
        <v>156</v>
      </c>
      <c r="B31" s="2" t="s">
        <v>157</v>
      </c>
      <c r="C31" s="2" t="s">
        <v>158</v>
      </c>
      <c r="D31" s="3">
        <v>411.52</v>
      </c>
      <c r="E31" s="4">
        <f t="shared" si="0"/>
        <v>1341.5551999999998</v>
      </c>
      <c r="F31" s="2" t="s">
        <v>159</v>
      </c>
      <c r="G31" s="2" t="s">
        <v>160</v>
      </c>
      <c r="H31" s="5" t="s">
        <v>47</v>
      </c>
    </row>
    <row r="32" spans="1:8" x14ac:dyDescent="0.25">
      <c r="A32" s="2" t="s">
        <v>161</v>
      </c>
      <c r="B32" s="2" t="s">
        <v>162</v>
      </c>
      <c r="C32" s="2" t="s">
        <v>163</v>
      </c>
      <c r="D32" s="3">
        <v>31.09</v>
      </c>
      <c r="E32" s="4">
        <f t="shared" si="0"/>
        <v>101.35339999999999</v>
      </c>
      <c r="F32" s="2" t="s">
        <v>164</v>
      </c>
      <c r="G32" s="2" t="s">
        <v>165</v>
      </c>
      <c r="H32" s="5" t="s">
        <v>47</v>
      </c>
    </row>
    <row r="33" spans="1:8" x14ac:dyDescent="0.25">
      <c r="A33" s="2" t="s">
        <v>166</v>
      </c>
      <c r="B33" s="2" t="s">
        <v>100</v>
      </c>
      <c r="C33" s="2" t="s">
        <v>167</v>
      </c>
      <c r="D33" s="3">
        <v>250.63</v>
      </c>
      <c r="E33" s="4">
        <f t="shared" si="0"/>
        <v>817.05379999999991</v>
      </c>
      <c r="F33" s="2" t="s">
        <v>168</v>
      </c>
      <c r="G33" s="2" t="s">
        <v>169</v>
      </c>
      <c r="H33" s="5" t="s">
        <v>170</v>
      </c>
    </row>
    <row r="34" spans="1:8" x14ac:dyDescent="0.25">
      <c r="A34" s="2" t="s">
        <v>171</v>
      </c>
      <c r="B34" s="2" t="s">
        <v>172</v>
      </c>
      <c r="C34" s="2" t="s">
        <v>173</v>
      </c>
      <c r="D34" s="3">
        <v>257.73</v>
      </c>
      <c r="E34" s="4">
        <f t="shared" si="0"/>
        <v>840.19979999999998</v>
      </c>
      <c r="F34" s="2" t="s">
        <v>174</v>
      </c>
      <c r="G34" s="2" t="s">
        <v>175</v>
      </c>
      <c r="H34" s="5" t="s">
        <v>176</v>
      </c>
    </row>
    <row r="35" spans="1:8" x14ac:dyDescent="0.25">
      <c r="A35" s="2" t="s">
        <v>177</v>
      </c>
      <c r="B35" s="2" t="s">
        <v>178</v>
      </c>
      <c r="C35" s="2" t="s">
        <v>179</v>
      </c>
      <c r="D35" s="3">
        <v>24.81</v>
      </c>
      <c r="E35" s="4">
        <f t="shared" si="0"/>
        <v>80.880599999999987</v>
      </c>
      <c r="F35" s="2" t="s">
        <v>180</v>
      </c>
      <c r="G35" s="2" t="s">
        <v>181</v>
      </c>
      <c r="H35" s="5" t="s">
        <v>13</v>
      </c>
    </row>
    <row r="36" spans="1:8" x14ac:dyDescent="0.25">
      <c r="A36" s="2" t="s">
        <v>182</v>
      </c>
      <c r="B36" s="2" t="s">
        <v>183</v>
      </c>
      <c r="C36" s="2" t="s">
        <v>184</v>
      </c>
      <c r="D36" s="3">
        <v>181.49</v>
      </c>
      <c r="E36" s="4">
        <f t="shared" si="0"/>
        <v>591.65739999999994</v>
      </c>
      <c r="F36" s="2" t="s">
        <v>185</v>
      </c>
      <c r="G36" s="2" t="s">
        <v>186</v>
      </c>
      <c r="H36" s="5" t="s">
        <v>19</v>
      </c>
    </row>
    <row r="37" spans="1:8" x14ac:dyDescent="0.25">
      <c r="A37" s="2" t="s">
        <v>187</v>
      </c>
      <c r="B37" s="2" t="s">
        <v>183</v>
      </c>
      <c r="C37" s="2" t="s">
        <v>9</v>
      </c>
      <c r="D37" s="3">
        <v>44.35</v>
      </c>
      <c r="E37" s="4">
        <f t="shared" si="0"/>
        <v>144.58099999999999</v>
      </c>
      <c r="F37" s="2" t="s">
        <v>188</v>
      </c>
      <c r="G37" s="2" t="s">
        <v>189</v>
      </c>
      <c r="H37" s="5" t="s">
        <v>47</v>
      </c>
    </row>
    <row r="38" spans="1:8" x14ac:dyDescent="0.25">
      <c r="A38" s="2" t="s">
        <v>190</v>
      </c>
      <c r="B38" s="2" t="s">
        <v>191</v>
      </c>
      <c r="C38" s="2" t="s">
        <v>192</v>
      </c>
      <c r="D38" s="3">
        <v>37.909999999999997</v>
      </c>
      <c r="E38" s="4">
        <f t="shared" si="0"/>
        <v>123.58659999999998</v>
      </c>
      <c r="F38" s="2" t="s">
        <v>193</v>
      </c>
      <c r="G38" s="2" t="s">
        <v>194</v>
      </c>
      <c r="H38" s="5" t="s">
        <v>25</v>
      </c>
    </row>
    <row r="39" spans="1:8" x14ac:dyDescent="0.25">
      <c r="A39" s="2" t="s">
        <v>195</v>
      </c>
      <c r="B39" s="2" t="s">
        <v>196</v>
      </c>
      <c r="C39" s="2" t="s">
        <v>197</v>
      </c>
      <c r="D39" s="3">
        <v>549.45000000000005</v>
      </c>
      <c r="E39" s="4">
        <f t="shared" si="0"/>
        <v>1791.2070000000001</v>
      </c>
      <c r="F39" s="2" t="s">
        <v>198</v>
      </c>
      <c r="G39" s="2" t="s">
        <v>199</v>
      </c>
      <c r="H39" s="5" t="s">
        <v>19</v>
      </c>
    </row>
    <row r="40" spans="1:8" x14ac:dyDescent="0.25">
      <c r="A40" s="2" t="s">
        <v>200</v>
      </c>
      <c r="B40" s="2" t="s">
        <v>201</v>
      </c>
      <c r="C40" s="2" t="s">
        <v>202</v>
      </c>
      <c r="D40" s="3">
        <v>30.87</v>
      </c>
      <c r="E40" s="4">
        <f t="shared" si="0"/>
        <v>100.6362</v>
      </c>
      <c r="F40" s="2" t="s">
        <v>203</v>
      </c>
      <c r="G40" s="2" t="s">
        <v>204</v>
      </c>
      <c r="H40" s="5" t="s">
        <v>47</v>
      </c>
    </row>
    <row r="41" spans="1:8" x14ac:dyDescent="0.25">
      <c r="A41" s="2" t="s">
        <v>205</v>
      </c>
      <c r="B41" s="2" t="s">
        <v>206</v>
      </c>
      <c r="C41" s="2" t="s">
        <v>207</v>
      </c>
      <c r="D41" s="3">
        <v>193.8</v>
      </c>
      <c r="E41" s="4">
        <f t="shared" si="0"/>
        <v>631.78800000000001</v>
      </c>
      <c r="F41" s="2" t="s">
        <v>208</v>
      </c>
      <c r="G41" s="2" t="s">
        <v>209</v>
      </c>
      <c r="H41" s="5" t="s">
        <v>25</v>
      </c>
    </row>
    <row r="42" spans="1:8" x14ac:dyDescent="0.25">
      <c r="A42" s="2" t="s">
        <v>210</v>
      </c>
      <c r="B42" s="2" t="s">
        <v>206</v>
      </c>
      <c r="C42" s="2" t="s">
        <v>211</v>
      </c>
      <c r="D42" s="3">
        <v>83.4</v>
      </c>
      <c r="E42" s="4">
        <f t="shared" si="0"/>
        <v>271.88400000000001</v>
      </c>
      <c r="F42" s="2" t="s">
        <v>212</v>
      </c>
      <c r="G42" s="2" t="s">
        <v>213</v>
      </c>
      <c r="H42" s="5" t="s">
        <v>19</v>
      </c>
    </row>
    <row r="43" spans="1:8" x14ac:dyDescent="0.25">
      <c r="A43" s="2" t="s">
        <v>214</v>
      </c>
      <c r="B43" s="2" t="s">
        <v>215</v>
      </c>
      <c r="C43" s="2" t="s">
        <v>216</v>
      </c>
      <c r="D43" s="3">
        <v>25.18</v>
      </c>
      <c r="E43" s="4">
        <f t="shared" si="0"/>
        <v>82.086799999999997</v>
      </c>
      <c r="F43" s="2" t="s">
        <v>217</v>
      </c>
      <c r="G43" s="2" t="s">
        <v>218</v>
      </c>
      <c r="H43" s="5" t="s">
        <v>13</v>
      </c>
    </row>
    <row r="44" spans="1:8" x14ac:dyDescent="0.25">
      <c r="A44" s="2" t="s">
        <v>219</v>
      </c>
      <c r="B44" s="2" t="s">
        <v>220</v>
      </c>
      <c r="C44" s="2" t="s">
        <v>221</v>
      </c>
      <c r="D44" s="3">
        <v>127.39</v>
      </c>
      <c r="E44" s="4">
        <f t="shared" si="0"/>
        <v>415.29139999999995</v>
      </c>
      <c r="F44" s="2" t="s">
        <v>222</v>
      </c>
      <c r="G44" s="2" t="s">
        <v>223</v>
      </c>
      <c r="H44" s="5" t="s">
        <v>25</v>
      </c>
    </row>
    <row r="45" spans="1:8" x14ac:dyDescent="0.25">
      <c r="A45" s="2" t="s">
        <v>224</v>
      </c>
      <c r="B45" s="2" t="s">
        <v>225</v>
      </c>
      <c r="C45" s="2" t="s">
        <v>202</v>
      </c>
      <c r="D45" s="3">
        <v>32.130000000000003</v>
      </c>
      <c r="E45" s="4">
        <f t="shared" si="0"/>
        <v>104.74380000000001</v>
      </c>
      <c r="F45" s="2" t="s">
        <v>226</v>
      </c>
      <c r="G45" s="2" t="s">
        <v>227</v>
      </c>
      <c r="H45" s="5" t="s">
        <v>13</v>
      </c>
    </row>
    <row r="46" spans="1:8" x14ac:dyDescent="0.25">
      <c r="A46" s="2" t="s">
        <v>228</v>
      </c>
      <c r="B46" s="2" t="s">
        <v>225</v>
      </c>
      <c r="C46" s="2" t="s">
        <v>27</v>
      </c>
      <c r="D46" s="3">
        <v>24.45</v>
      </c>
      <c r="E46" s="4">
        <f t="shared" si="0"/>
        <v>79.706999999999994</v>
      </c>
      <c r="F46" s="2" t="s">
        <v>229</v>
      </c>
      <c r="G46" s="2" t="s">
        <v>230</v>
      </c>
      <c r="H46" s="5" t="s">
        <v>13</v>
      </c>
    </row>
    <row r="47" spans="1:8" x14ac:dyDescent="0.25">
      <c r="A47" s="2" t="s">
        <v>231</v>
      </c>
      <c r="B47" s="2" t="s">
        <v>232</v>
      </c>
      <c r="C47" s="2" t="s">
        <v>233</v>
      </c>
      <c r="D47" s="3">
        <v>56.18</v>
      </c>
      <c r="E47" s="4">
        <f t="shared" si="0"/>
        <v>183.14679999999998</v>
      </c>
      <c r="F47" s="2" t="s">
        <v>234</v>
      </c>
      <c r="G47" s="2" t="s">
        <v>235</v>
      </c>
      <c r="H47" s="5" t="s">
        <v>47</v>
      </c>
    </row>
    <row r="48" spans="1:8" x14ac:dyDescent="0.25">
      <c r="A48" s="2" t="s">
        <v>236</v>
      </c>
      <c r="B48" s="2" t="s">
        <v>237</v>
      </c>
      <c r="C48" s="2" t="s">
        <v>238</v>
      </c>
      <c r="D48" s="3">
        <v>132.28</v>
      </c>
      <c r="E48" s="4">
        <f t="shared" si="0"/>
        <v>431.2328</v>
      </c>
      <c r="F48" s="2" t="s">
        <v>239</v>
      </c>
      <c r="G48" s="2" t="s">
        <v>240</v>
      </c>
      <c r="H48" s="5" t="s">
        <v>19</v>
      </c>
    </row>
    <row r="49" spans="1:8" x14ac:dyDescent="0.25">
      <c r="A49" s="2" t="s">
        <v>241</v>
      </c>
      <c r="B49" s="2" t="s">
        <v>242</v>
      </c>
      <c r="C49" s="2" t="s">
        <v>243</v>
      </c>
      <c r="D49" s="3">
        <v>153.13999999999999</v>
      </c>
      <c r="E49" s="4">
        <f t="shared" si="0"/>
        <v>499.23639999999995</v>
      </c>
      <c r="F49" s="2" t="s">
        <v>244</v>
      </c>
      <c r="G49" s="2" t="s">
        <v>245</v>
      </c>
      <c r="H49" s="5" t="s">
        <v>47</v>
      </c>
    </row>
    <row r="50" spans="1:8" x14ac:dyDescent="0.25">
      <c r="A50" s="2" t="s">
        <v>246</v>
      </c>
      <c r="B50" s="2" t="s">
        <v>247</v>
      </c>
      <c r="C50" s="2" t="s">
        <v>248</v>
      </c>
      <c r="D50" s="3">
        <v>54.35</v>
      </c>
      <c r="E50" s="4">
        <f t="shared" si="0"/>
        <v>177.18099999999998</v>
      </c>
      <c r="F50" s="2" t="s">
        <v>249</v>
      </c>
      <c r="G50" s="2" t="s">
        <v>250</v>
      </c>
      <c r="H50" s="5" t="s">
        <v>25</v>
      </c>
    </row>
    <row r="51" spans="1:8" x14ac:dyDescent="0.25">
      <c r="A51" s="2" t="s">
        <v>251</v>
      </c>
      <c r="B51" s="2" t="s">
        <v>252</v>
      </c>
      <c r="C51" s="2" t="s">
        <v>253</v>
      </c>
      <c r="D51" s="3">
        <v>20.21</v>
      </c>
      <c r="E51" s="4">
        <f t="shared" si="0"/>
        <v>65.884599999999992</v>
      </c>
      <c r="F51" s="2" t="s">
        <v>254</v>
      </c>
      <c r="G51" s="2" t="s">
        <v>255</v>
      </c>
      <c r="H51" s="5" t="s">
        <v>25</v>
      </c>
    </row>
    <row r="52" spans="1:8" x14ac:dyDescent="0.25">
      <c r="A52" s="2" t="s">
        <v>256</v>
      </c>
      <c r="B52" s="2" t="s">
        <v>252</v>
      </c>
      <c r="C52" s="2" t="s">
        <v>257</v>
      </c>
      <c r="D52" s="3">
        <v>38.520000000000003</v>
      </c>
      <c r="E52" s="4">
        <f t="shared" si="0"/>
        <v>125.5752</v>
      </c>
      <c r="F52" s="2" t="s">
        <v>258</v>
      </c>
      <c r="G52" s="2" t="s">
        <v>259</v>
      </c>
      <c r="H52" s="5" t="s">
        <v>25</v>
      </c>
    </row>
    <row r="53" spans="1:8" x14ac:dyDescent="0.25">
      <c r="A53" s="2" t="s">
        <v>260</v>
      </c>
      <c r="B53" s="2" t="s">
        <v>261</v>
      </c>
      <c r="C53" s="2" t="s">
        <v>262</v>
      </c>
      <c r="D53" s="3">
        <v>29.38</v>
      </c>
      <c r="E53" s="4">
        <f t="shared" si="0"/>
        <v>95.77879999999999</v>
      </c>
      <c r="F53" s="2" t="s">
        <v>263</v>
      </c>
      <c r="G53" s="2" t="s">
        <v>259</v>
      </c>
      <c r="H53" s="5" t="s">
        <v>25</v>
      </c>
    </row>
    <row r="54" spans="1:8" x14ac:dyDescent="0.25">
      <c r="A54" s="2" t="s">
        <v>264</v>
      </c>
      <c r="B54" s="2" t="s">
        <v>265</v>
      </c>
      <c r="C54" s="2" t="s">
        <v>266</v>
      </c>
      <c r="D54" s="3">
        <v>68.78</v>
      </c>
      <c r="E54" s="4">
        <f t="shared" si="0"/>
        <v>224.22279999999998</v>
      </c>
      <c r="F54" s="2" t="s">
        <v>267</v>
      </c>
      <c r="G54" s="2" t="s">
        <v>268</v>
      </c>
      <c r="H54" s="5" t="s">
        <v>47</v>
      </c>
    </row>
    <row r="55" spans="1:8" x14ac:dyDescent="0.25">
      <c r="A55" s="2" t="s">
        <v>269</v>
      </c>
      <c r="B55" s="2" t="s">
        <v>270</v>
      </c>
      <c r="C55" s="2" t="s">
        <v>271</v>
      </c>
      <c r="D55" s="3">
        <v>18.68</v>
      </c>
      <c r="E55" s="4">
        <f t="shared" si="0"/>
        <v>60.896799999999992</v>
      </c>
      <c r="F55" s="2" t="s">
        <v>272</v>
      </c>
      <c r="G55" s="2" t="s">
        <v>273</v>
      </c>
      <c r="H55" s="5" t="s">
        <v>25</v>
      </c>
    </row>
    <row r="56" spans="1:8" x14ac:dyDescent="0.25">
      <c r="A56" s="2" t="s">
        <v>274</v>
      </c>
      <c r="B56" s="2" t="s">
        <v>275</v>
      </c>
      <c r="C56" s="2" t="s">
        <v>262</v>
      </c>
      <c r="D56" s="3">
        <v>29.76</v>
      </c>
      <c r="E56" s="4">
        <f t="shared" si="0"/>
        <v>97.017600000000002</v>
      </c>
      <c r="F56" s="2" t="s">
        <v>276</v>
      </c>
      <c r="G56" s="2" t="s">
        <v>277</v>
      </c>
      <c r="H56" s="5" t="s">
        <v>47</v>
      </c>
    </row>
    <row r="57" spans="1:8" x14ac:dyDescent="0.25">
      <c r="A57" s="2" t="s">
        <v>278</v>
      </c>
      <c r="B57" s="2" t="s">
        <v>275</v>
      </c>
      <c r="C57" s="2" t="s">
        <v>279</v>
      </c>
      <c r="D57" s="3">
        <v>645.16</v>
      </c>
      <c r="E57" s="4">
        <f t="shared" si="0"/>
        <v>2103.2215999999999</v>
      </c>
      <c r="F57" s="2" t="s">
        <v>280</v>
      </c>
      <c r="G57" s="2" t="s">
        <v>281</v>
      </c>
      <c r="H57" s="5" t="s">
        <v>47</v>
      </c>
    </row>
    <row r="58" spans="1:8" x14ac:dyDescent="0.25">
      <c r="A58" s="2" t="s">
        <v>282</v>
      </c>
      <c r="B58" s="2" t="s">
        <v>275</v>
      </c>
      <c r="C58" s="2" t="s">
        <v>283</v>
      </c>
      <c r="D58" s="3">
        <v>61.12</v>
      </c>
      <c r="E58" s="4">
        <f t="shared" si="0"/>
        <v>199.25119999999998</v>
      </c>
      <c r="F58" s="2" t="s">
        <v>284</v>
      </c>
      <c r="G58" s="2" t="s">
        <v>285</v>
      </c>
      <c r="H58" s="5" t="s">
        <v>62</v>
      </c>
    </row>
    <row r="59" spans="1:8" x14ac:dyDescent="0.25">
      <c r="A59" s="2" t="s">
        <v>286</v>
      </c>
      <c r="B59" s="2" t="s">
        <v>275</v>
      </c>
      <c r="C59" s="2" t="s">
        <v>287</v>
      </c>
      <c r="D59" s="3">
        <v>38.770000000000003</v>
      </c>
      <c r="E59" s="4">
        <f t="shared" si="0"/>
        <v>126.39020000000001</v>
      </c>
      <c r="F59" s="2" t="s">
        <v>288</v>
      </c>
      <c r="G59" s="2" t="s">
        <v>289</v>
      </c>
      <c r="H59" s="5" t="s">
        <v>25</v>
      </c>
    </row>
    <row r="60" spans="1:8" x14ac:dyDescent="0.25">
      <c r="A60" s="2" t="s">
        <v>290</v>
      </c>
      <c r="B60" s="2" t="s">
        <v>275</v>
      </c>
      <c r="C60" s="2" t="s">
        <v>291</v>
      </c>
      <c r="D60" s="3">
        <v>52.16</v>
      </c>
      <c r="E60" s="4">
        <f t="shared" si="0"/>
        <v>170.04159999999999</v>
      </c>
      <c r="F60" s="2" t="s">
        <v>292</v>
      </c>
      <c r="G60" s="2" t="s">
        <v>293</v>
      </c>
      <c r="H60" s="5" t="s">
        <v>62</v>
      </c>
    </row>
    <row r="61" spans="1:8" x14ac:dyDescent="0.25">
      <c r="A61" s="2" t="s">
        <v>294</v>
      </c>
      <c r="B61" s="2" t="s">
        <v>295</v>
      </c>
      <c r="C61" s="2" t="s">
        <v>296</v>
      </c>
      <c r="D61" s="3">
        <v>14.32</v>
      </c>
      <c r="E61" s="4">
        <f t="shared" si="0"/>
        <v>46.683199999999999</v>
      </c>
      <c r="F61" s="2" t="s">
        <v>297</v>
      </c>
      <c r="G61" s="2" t="s">
        <v>298</v>
      </c>
      <c r="H61" s="5" t="s">
        <v>13</v>
      </c>
    </row>
    <row r="62" spans="1:8" x14ac:dyDescent="0.25">
      <c r="A62" s="2" t="s">
        <v>299</v>
      </c>
      <c r="B62" s="2" t="s">
        <v>300</v>
      </c>
      <c r="C62" s="2" t="s">
        <v>301</v>
      </c>
      <c r="D62" s="3">
        <v>28.46</v>
      </c>
      <c r="E62" s="4">
        <f t="shared" si="0"/>
        <v>92.779600000000002</v>
      </c>
      <c r="F62" s="2" t="s">
        <v>302</v>
      </c>
      <c r="G62" s="2" t="s">
        <v>303</v>
      </c>
      <c r="H62" s="5" t="s">
        <v>47</v>
      </c>
    </row>
    <row r="63" spans="1:8" x14ac:dyDescent="0.25">
      <c r="A63" s="2" t="s">
        <v>304</v>
      </c>
      <c r="B63" s="2" t="s">
        <v>305</v>
      </c>
      <c r="C63" s="2" t="s">
        <v>306</v>
      </c>
      <c r="D63" s="3">
        <v>108.81</v>
      </c>
      <c r="E63" s="4">
        <f t="shared" si="0"/>
        <v>354.72059999999999</v>
      </c>
      <c r="F63" s="2" t="s">
        <v>307</v>
      </c>
      <c r="G63" s="2" t="s">
        <v>308</v>
      </c>
      <c r="H63" s="5" t="s">
        <v>25</v>
      </c>
    </row>
    <row r="64" spans="1:8" x14ac:dyDescent="0.25">
      <c r="A64" s="2" t="s">
        <v>309</v>
      </c>
      <c r="B64" s="2" t="s">
        <v>310</v>
      </c>
      <c r="C64" s="2" t="s">
        <v>311</v>
      </c>
      <c r="D64" s="3">
        <v>11.09</v>
      </c>
      <c r="E64" s="4">
        <f t="shared" si="0"/>
        <v>36.153399999999998</v>
      </c>
      <c r="F64" s="2" t="s">
        <v>312</v>
      </c>
      <c r="G64" s="2" t="s">
        <v>313</v>
      </c>
      <c r="H64" s="5" t="s">
        <v>13</v>
      </c>
    </row>
    <row r="65" spans="1:8" x14ac:dyDescent="0.25">
      <c r="A65" s="2" t="s">
        <v>314</v>
      </c>
      <c r="B65" s="2" t="s">
        <v>315</v>
      </c>
      <c r="C65" s="2" t="s">
        <v>316</v>
      </c>
      <c r="D65" s="3">
        <v>187.97</v>
      </c>
      <c r="E65" s="4">
        <f t="shared" si="0"/>
        <v>612.78219999999999</v>
      </c>
      <c r="F65" s="2" t="s">
        <v>317</v>
      </c>
      <c r="G65" s="2" t="s">
        <v>318</v>
      </c>
      <c r="H65" s="5" t="s">
        <v>47</v>
      </c>
    </row>
    <row r="66" spans="1:8" x14ac:dyDescent="0.25">
      <c r="A66" s="2" t="s">
        <v>319</v>
      </c>
      <c r="B66" s="2" t="s">
        <v>70</v>
      </c>
      <c r="C66" s="2" t="s">
        <v>320</v>
      </c>
      <c r="D66" s="3">
        <v>39.979999999999997</v>
      </c>
      <c r="E66" s="4">
        <f t="shared" si="0"/>
        <v>130.33479999999997</v>
      </c>
      <c r="F66" s="2" t="s">
        <v>321</v>
      </c>
      <c r="G66" s="2" t="s">
        <v>322</v>
      </c>
      <c r="H66" s="5" t="s">
        <v>13</v>
      </c>
    </row>
    <row r="67" spans="1:8" x14ac:dyDescent="0.25">
      <c r="A67" s="2" t="s">
        <v>323</v>
      </c>
      <c r="B67" s="2" t="s">
        <v>324</v>
      </c>
      <c r="C67" s="2" t="s">
        <v>325</v>
      </c>
      <c r="D67" s="3">
        <v>429.18</v>
      </c>
      <c r="E67" s="4">
        <f t="shared" ref="E67:E101" si="1">D67*3.26</f>
        <v>1399.1268</v>
      </c>
      <c r="F67" s="2" t="s">
        <v>326</v>
      </c>
      <c r="G67" s="2" t="s">
        <v>327</v>
      </c>
      <c r="H67" s="5" t="s">
        <v>170</v>
      </c>
    </row>
    <row r="68" spans="1:8" x14ac:dyDescent="0.25">
      <c r="A68" s="2" t="s">
        <v>328</v>
      </c>
      <c r="B68" s="2" t="s">
        <v>324</v>
      </c>
      <c r="C68" s="2" t="s">
        <v>329</v>
      </c>
      <c r="D68" s="3">
        <v>212.31</v>
      </c>
      <c r="E68" s="4">
        <f t="shared" si="1"/>
        <v>692.13059999999996</v>
      </c>
      <c r="F68" s="2" t="s">
        <v>330</v>
      </c>
      <c r="G68" s="2" t="s">
        <v>331</v>
      </c>
      <c r="H68" s="5" t="s">
        <v>13</v>
      </c>
    </row>
    <row r="69" spans="1:8" x14ac:dyDescent="0.25">
      <c r="A69" s="2" t="s">
        <v>332</v>
      </c>
      <c r="B69" s="2" t="s">
        <v>333</v>
      </c>
      <c r="C69" s="2" t="s">
        <v>334</v>
      </c>
      <c r="D69" s="3">
        <v>22.91</v>
      </c>
      <c r="E69" s="4">
        <f t="shared" si="1"/>
        <v>74.686599999999999</v>
      </c>
      <c r="F69" s="2" t="s">
        <v>335</v>
      </c>
      <c r="G69" s="2" t="s">
        <v>336</v>
      </c>
      <c r="H69" s="5" t="s">
        <v>13</v>
      </c>
    </row>
    <row r="70" spans="1:8" x14ac:dyDescent="0.25">
      <c r="A70" s="2" t="s">
        <v>337</v>
      </c>
      <c r="B70" s="2" t="s">
        <v>338</v>
      </c>
      <c r="C70" s="2" t="s">
        <v>339</v>
      </c>
      <c r="D70" s="3">
        <v>175.75</v>
      </c>
      <c r="E70" s="4">
        <f t="shared" si="1"/>
        <v>572.94499999999994</v>
      </c>
      <c r="F70" s="2" t="s">
        <v>340</v>
      </c>
      <c r="G70" s="2" t="s">
        <v>341</v>
      </c>
      <c r="H70" s="5" t="s">
        <v>25</v>
      </c>
    </row>
    <row r="71" spans="1:8" x14ac:dyDescent="0.25">
      <c r="A71" s="2" t="s">
        <v>342</v>
      </c>
      <c r="B71" s="2" t="s">
        <v>338</v>
      </c>
      <c r="C71" s="2" t="s">
        <v>343</v>
      </c>
      <c r="D71" s="3">
        <v>23.96</v>
      </c>
      <c r="E71" s="4">
        <f t="shared" si="1"/>
        <v>78.1096</v>
      </c>
      <c r="F71" s="2" t="s">
        <v>344</v>
      </c>
      <c r="G71" s="2" t="s">
        <v>218</v>
      </c>
      <c r="H71" s="5" t="s">
        <v>13</v>
      </c>
    </row>
    <row r="72" spans="1:8" x14ac:dyDescent="0.25">
      <c r="A72" s="2" t="s">
        <v>345</v>
      </c>
      <c r="B72" s="2" t="s">
        <v>338</v>
      </c>
      <c r="C72" s="2" t="s">
        <v>346</v>
      </c>
      <c r="D72" s="3">
        <v>467.29</v>
      </c>
      <c r="E72" s="4">
        <f t="shared" si="1"/>
        <v>1523.3653999999999</v>
      </c>
      <c r="F72" s="2" t="s">
        <v>347</v>
      </c>
      <c r="G72" s="2" t="s">
        <v>348</v>
      </c>
      <c r="H72" s="5" t="s">
        <v>19</v>
      </c>
    </row>
    <row r="73" spans="1:8" x14ac:dyDescent="0.25">
      <c r="A73" s="2" t="s">
        <v>349</v>
      </c>
      <c r="B73" s="2" t="s">
        <v>350</v>
      </c>
      <c r="C73" s="2" t="s">
        <v>351</v>
      </c>
      <c r="D73" s="3">
        <v>70.08</v>
      </c>
      <c r="E73" s="4">
        <f t="shared" si="1"/>
        <v>228.46079999999998</v>
      </c>
      <c r="F73" s="2" t="s">
        <v>99</v>
      </c>
      <c r="G73" s="2" t="s">
        <v>352</v>
      </c>
      <c r="H73" s="5" t="s">
        <v>25</v>
      </c>
    </row>
    <row r="74" spans="1:8" x14ac:dyDescent="0.25">
      <c r="A74" s="2" t="s">
        <v>353</v>
      </c>
      <c r="B74" s="2" t="s">
        <v>350</v>
      </c>
      <c r="C74" s="2" t="s">
        <v>354</v>
      </c>
      <c r="D74" s="3">
        <v>45.25</v>
      </c>
      <c r="E74" s="4">
        <f t="shared" si="1"/>
        <v>147.51499999999999</v>
      </c>
      <c r="F74" s="2" t="s">
        <v>355</v>
      </c>
      <c r="G74" s="2" t="s">
        <v>82</v>
      </c>
      <c r="H74" s="5" t="s">
        <v>25</v>
      </c>
    </row>
    <row r="75" spans="1:8" x14ac:dyDescent="0.25">
      <c r="A75" s="2" t="s">
        <v>356</v>
      </c>
      <c r="B75" s="2" t="s">
        <v>357</v>
      </c>
      <c r="C75" s="2" t="s">
        <v>358</v>
      </c>
      <c r="D75" s="3">
        <v>280.89999999999998</v>
      </c>
      <c r="E75" s="4">
        <f t="shared" si="1"/>
        <v>915.73399999999981</v>
      </c>
      <c r="F75" s="2" t="s">
        <v>359</v>
      </c>
      <c r="G75" s="2" t="s">
        <v>360</v>
      </c>
      <c r="H75" s="5" t="s">
        <v>170</v>
      </c>
    </row>
    <row r="76" spans="1:8" x14ac:dyDescent="0.25">
      <c r="A76" s="2" t="s">
        <v>361</v>
      </c>
      <c r="B76" s="2" t="s">
        <v>362</v>
      </c>
      <c r="C76" s="2" t="s">
        <v>99</v>
      </c>
      <c r="D76" s="3">
        <v>16.7</v>
      </c>
      <c r="E76" s="4">
        <f t="shared" si="1"/>
        <v>54.441999999999993</v>
      </c>
      <c r="F76" s="2" t="s">
        <v>363</v>
      </c>
      <c r="G76" s="2" t="s">
        <v>364</v>
      </c>
      <c r="H76" s="5" t="s">
        <v>19</v>
      </c>
    </row>
    <row r="77" spans="1:8" x14ac:dyDescent="0.25">
      <c r="A77" s="2" t="s">
        <v>365</v>
      </c>
      <c r="B77" s="2" t="s">
        <v>366</v>
      </c>
      <c r="C77" s="2" t="s">
        <v>367</v>
      </c>
      <c r="D77" s="3">
        <v>115.21</v>
      </c>
      <c r="E77" s="4">
        <f t="shared" si="1"/>
        <v>375.58459999999997</v>
      </c>
      <c r="F77" s="2" t="s">
        <v>368</v>
      </c>
      <c r="G77" s="2" t="s">
        <v>67</v>
      </c>
      <c r="H77" s="5" t="s">
        <v>47</v>
      </c>
    </row>
    <row r="78" spans="1:8" x14ac:dyDescent="0.25">
      <c r="A78" s="2" t="s">
        <v>369</v>
      </c>
      <c r="B78" s="2" t="s">
        <v>366</v>
      </c>
      <c r="C78" s="2" t="s">
        <v>370</v>
      </c>
      <c r="D78" s="3">
        <v>123.15</v>
      </c>
      <c r="E78" s="4">
        <f t="shared" si="1"/>
        <v>401.46899999999999</v>
      </c>
      <c r="F78" s="2" t="s">
        <v>371</v>
      </c>
      <c r="G78" s="2" t="s">
        <v>372</v>
      </c>
      <c r="H78" s="5" t="s">
        <v>47</v>
      </c>
    </row>
    <row r="79" spans="1:8" x14ac:dyDescent="0.25">
      <c r="A79" s="2" t="s">
        <v>373</v>
      </c>
      <c r="B79" s="2" t="s">
        <v>366</v>
      </c>
      <c r="C79" s="2" t="s">
        <v>374</v>
      </c>
      <c r="D79" s="3">
        <v>20.059999999999999</v>
      </c>
      <c r="E79" s="4">
        <f t="shared" si="1"/>
        <v>65.395599999999988</v>
      </c>
      <c r="F79" s="2" t="s">
        <v>375</v>
      </c>
      <c r="G79" s="2" t="s">
        <v>376</v>
      </c>
      <c r="H79" s="5" t="s">
        <v>25</v>
      </c>
    </row>
    <row r="80" spans="1:8" x14ac:dyDescent="0.25">
      <c r="A80" s="2" t="s">
        <v>377</v>
      </c>
      <c r="B80" s="2" t="s">
        <v>378</v>
      </c>
      <c r="C80" s="2" t="s">
        <v>379</v>
      </c>
      <c r="D80" s="3">
        <v>168.07</v>
      </c>
      <c r="E80" s="4">
        <f t="shared" si="1"/>
        <v>547.90819999999997</v>
      </c>
      <c r="F80" s="2" t="s">
        <v>380</v>
      </c>
      <c r="G80" s="2" t="s">
        <v>381</v>
      </c>
      <c r="H80" s="5" t="s">
        <v>47</v>
      </c>
    </row>
    <row r="81" spans="1:8" x14ac:dyDescent="0.25">
      <c r="A81" s="2" t="s">
        <v>382</v>
      </c>
      <c r="B81" s="2" t="s">
        <v>383</v>
      </c>
      <c r="C81" s="2" t="s">
        <v>384</v>
      </c>
      <c r="D81" s="3">
        <v>94.61</v>
      </c>
      <c r="E81" s="4">
        <f t="shared" si="1"/>
        <v>308.42859999999996</v>
      </c>
      <c r="F81" s="2" t="s">
        <v>385</v>
      </c>
      <c r="G81" s="2" t="s">
        <v>386</v>
      </c>
      <c r="H81" s="5" t="s">
        <v>47</v>
      </c>
    </row>
    <row r="82" spans="1:8" x14ac:dyDescent="0.25">
      <c r="A82" s="2" t="s">
        <v>387</v>
      </c>
      <c r="B82" s="2" t="s">
        <v>388</v>
      </c>
      <c r="C82" s="2" t="s">
        <v>389</v>
      </c>
      <c r="D82" s="3">
        <v>24.35</v>
      </c>
      <c r="E82" s="4">
        <f t="shared" si="1"/>
        <v>79.381</v>
      </c>
      <c r="F82" s="2" t="s">
        <v>390</v>
      </c>
      <c r="G82" s="2" t="s">
        <v>230</v>
      </c>
      <c r="H82" s="5" t="s">
        <v>13</v>
      </c>
    </row>
    <row r="83" spans="1:8" x14ac:dyDescent="0.25">
      <c r="A83" s="2" t="s">
        <v>391</v>
      </c>
      <c r="B83" s="2" t="s">
        <v>392</v>
      </c>
      <c r="C83" s="2" t="s">
        <v>248</v>
      </c>
      <c r="D83" s="3">
        <v>64.31</v>
      </c>
      <c r="E83" s="4">
        <f t="shared" si="1"/>
        <v>209.6506</v>
      </c>
      <c r="F83" s="2" t="s">
        <v>393</v>
      </c>
      <c r="G83" s="2" t="s">
        <v>394</v>
      </c>
      <c r="H83" s="5" t="s">
        <v>31</v>
      </c>
    </row>
    <row r="84" spans="1:8" x14ac:dyDescent="0.25">
      <c r="A84" s="2" t="s">
        <v>395</v>
      </c>
      <c r="B84" s="2" t="s">
        <v>396</v>
      </c>
      <c r="C84" s="2" t="s">
        <v>75</v>
      </c>
      <c r="D84" s="3">
        <v>206.19</v>
      </c>
      <c r="E84" s="4">
        <f t="shared" si="1"/>
        <v>672.17939999999999</v>
      </c>
      <c r="F84" s="2" t="s">
        <v>397</v>
      </c>
      <c r="G84" s="2" t="s">
        <v>398</v>
      </c>
      <c r="H84" s="5" t="s">
        <v>25</v>
      </c>
    </row>
    <row r="85" spans="1:8" x14ac:dyDescent="0.25">
      <c r="A85" s="2" t="s">
        <v>399</v>
      </c>
      <c r="B85" s="2" t="s">
        <v>400</v>
      </c>
      <c r="C85" s="2" t="s">
        <v>401</v>
      </c>
      <c r="D85" s="3">
        <v>142.25</v>
      </c>
      <c r="E85" s="4">
        <f t="shared" si="1"/>
        <v>463.73499999999996</v>
      </c>
      <c r="F85" s="2" t="s">
        <v>368</v>
      </c>
      <c r="G85" s="2" t="s">
        <v>381</v>
      </c>
      <c r="H85" s="5" t="s">
        <v>47</v>
      </c>
    </row>
    <row r="86" spans="1:8" x14ac:dyDescent="0.25">
      <c r="A86" s="2" t="s">
        <v>402</v>
      </c>
      <c r="B86" s="2" t="s">
        <v>403</v>
      </c>
      <c r="C86" s="2" t="s">
        <v>404</v>
      </c>
      <c r="D86" s="3">
        <v>23.74</v>
      </c>
      <c r="E86" s="4">
        <f t="shared" si="1"/>
        <v>77.392399999999995</v>
      </c>
      <c r="F86" s="2" t="s">
        <v>405</v>
      </c>
      <c r="G86" s="2" t="s">
        <v>259</v>
      </c>
      <c r="H86" s="5" t="s">
        <v>25</v>
      </c>
    </row>
    <row r="87" spans="1:8" x14ac:dyDescent="0.25">
      <c r="A87" s="2" t="s">
        <v>406</v>
      </c>
      <c r="B87" s="2" t="s">
        <v>407</v>
      </c>
      <c r="C87" s="2" t="s">
        <v>408</v>
      </c>
      <c r="D87" s="3">
        <v>25.65</v>
      </c>
      <c r="E87" s="4">
        <f t="shared" si="1"/>
        <v>83.618999999999986</v>
      </c>
      <c r="F87" s="2" t="s">
        <v>409</v>
      </c>
      <c r="G87" s="2" t="s">
        <v>336</v>
      </c>
      <c r="H87" s="5" t="s">
        <v>13</v>
      </c>
    </row>
    <row r="88" spans="1:8" x14ac:dyDescent="0.25">
      <c r="A88" s="2" t="s">
        <v>410</v>
      </c>
      <c r="B88" s="2" t="s">
        <v>411</v>
      </c>
      <c r="C88" s="2" t="s">
        <v>412</v>
      </c>
      <c r="D88" s="3">
        <v>25.79</v>
      </c>
      <c r="E88" s="4">
        <f t="shared" si="1"/>
        <v>84.075399999999988</v>
      </c>
      <c r="F88" s="2" t="s">
        <v>413</v>
      </c>
      <c r="G88" s="2" t="s">
        <v>414</v>
      </c>
      <c r="H88" s="5" t="s">
        <v>13</v>
      </c>
    </row>
    <row r="89" spans="1:8" x14ac:dyDescent="0.25">
      <c r="A89" s="2" t="s">
        <v>415</v>
      </c>
      <c r="B89" s="2" t="s">
        <v>416</v>
      </c>
      <c r="C89" s="2" t="s">
        <v>417</v>
      </c>
      <c r="D89" s="3">
        <v>61.09</v>
      </c>
      <c r="E89" s="4">
        <f t="shared" si="1"/>
        <v>199.1534</v>
      </c>
      <c r="F89" s="2" t="s">
        <v>418</v>
      </c>
      <c r="G89" s="2" t="s">
        <v>419</v>
      </c>
      <c r="H89" s="5" t="s">
        <v>62</v>
      </c>
    </row>
    <row r="90" spans="1:8" x14ac:dyDescent="0.25">
      <c r="A90" s="2" t="s">
        <v>420</v>
      </c>
      <c r="B90" s="2" t="s">
        <v>421</v>
      </c>
      <c r="C90" s="2" t="s">
        <v>128</v>
      </c>
      <c r="D90" s="3">
        <v>14.96</v>
      </c>
      <c r="E90" s="4">
        <f t="shared" si="1"/>
        <v>48.769599999999997</v>
      </c>
      <c r="F90" s="2" t="s">
        <v>422</v>
      </c>
      <c r="G90" s="2" t="s">
        <v>72</v>
      </c>
      <c r="H90" s="5" t="s">
        <v>13</v>
      </c>
    </row>
    <row r="91" spans="1:8" x14ac:dyDescent="0.25">
      <c r="A91" s="2" t="s">
        <v>423</v>
      </c>
      <c r="B91" s="2" t="s">
        <v>421</v>
      </c>
      <c r="C91" s="2" t="s">
        <v>424</v>
      </c>
      <c r="D91" s="3">
        <v>980.39</v>
      </c>
      <c r="E91" s="4">
        <f t="shared" si="1"/>
        <v>3196.0713999999998</v>
      </c>
      <c r="F91" s="2" t="s">
        <v>425</v>
      </c>
      <c r="G91" s="2" t="s">
        <v>426</v>
      </c>
      <c r="H91" s="5" t="s">
        <v>47</v>
      </c>
    </row>
    <row r="92" spans="1:8" x14ac:dyDescent="0.25">
      <c r="A92" s="2" t="s">
        <v>427</v>
      </c>
      <c r="B92" s="2" t="s">
        <v>428</v>
      </c>
      <c r="C92" s="2" t="s">
        <v>221</v>
      </c>
      <c r="D92" s="3">
        <v>165.29</v>
      </c>
      <c r="E92" s="4">
        <f t="shared" si="1"/>
        <v>538.84539999999993</v>
      </c>
      <c r="F92" s="2" t="s">
        <v>429</v>
      </c>
      <c r="G92" s="2" t="s">
        <v>235</v>
      </c>
      <c r="H92" s="5" t="s">
        <v>47</v>
      </c>
    </row>
    <row r="93" spans="1:8" x14ac:dyDescent="0.25">
      <c r="A93" s="2" t="s">
        <v>430</v>
      </c>
      <c r="B93" s="2" t="s">
        <v>431</v>
      </c>
      <c r="C93" s="2" t="s">
        <v>69</v>
      </c>
      <c r="D93" s="3">
        <v>22.09</v>
      </c>
      <c r="E93" s="4">
        <f t="shared" si="1"/>
        <v>72.01339999999999</v>
      </c>
      <c r="F93" s="2" t="s">
        <v>432</v>
      </c>
      <c r="G93" s="2" t="s">
        <v>259</v>
      </c>
      <c r="H93" s="5" t="s">
        <v>25</v>
      </c>
    </row>
    <row r="94" spans="1:8" x14ac:dyDescent="0.25">
      <c r="A94" s="2" t="s">
        <v>433</v>
      </c>
      <c r="B94" s="2" t="s">
        <v>434</v>
      </c>
      <c r="C94" s="2" t="s">
        <v>435</v>
      </c>
      <c r="D94" s="3">
        <v>42.81</v>
      </c>
      <c r="E94" s="4">
        <f t="shared" si="1"/>
        <v>139.56059999999999</v>
      </c>
      <c r="F94" s="2" t="s">
        <v>436</v>
      </c>
      <c r="G94" s="2" t="s">
        <v>189</v>
      </c>
      <c r="H94" s="5" t="s">
        <v>47</v>
      </c>
    </row>
    <row r="95" spans="1:8" x14ac:dyDescent="0.25">
      <c r="A95" s="2" t="s">
        <v>437</v>
      </c>
      <c r="B95" s="2" t="s">
        <v>438</v>
      </c>
      <c r="C95" s="2" t="s">
        <v>439</v>
      </c>
      <c r="D95" s="3">
        <v>67.48</v>
      </c>
      <c r="E95" s="4">
        <f t="shared" si="1"/>
        <v>219.98480000000001</v>
      </c>
      <c r="F95" s="2" t="s">
        <v>440</v>
      </c>
      <c r="G95" s="2" t="s">
        <v>441</v>
      </c>
      <c r="H95" s="5" t="s">
        <v>62</v>
      </c>
    </row>
    <row r="96" spans="1:8" x14ac:dyDescent="0.25">
      <c r="A96" s="2" t="s">
        <v>442</v>
      </c>
      <c r="B96" s="2" t="s">
        <v>438</v>
      </c>
      <c r="C96" s="2" t="s">
        <v>443</v>
      </c>
      <c r="D96" s="3">
        <v>140.44999999999999</v>
      </c>
      <c r="E96" s="4">
        <f t="shared" si="1"/>
        <v>457.8669999999999</v>
      </c>
      <c r="F96" s="2" t="s">
        <v>444</v>
      </c>
      <c r="G96" s="2" t="s">
        <v>445</v>
      </c>
      <c r="H96" s="5" t="s">
        <v>170</v>
      </c>
    </row>
    <row r="97" spans="1:8" x14ac:dyDescent="0.25">
      <c r="A97" s="2" t="s">
        <v>446</v>
      </c>
      <c r="B97" s="2" t="s">
        <v>447</v>
      </c>
      <c r="C97" s="2" t="s">
        <v>448</v>
      </c>
      <c r="D97" s="3">
        <v>117.92</v>
      </c>
      <c r="E97" s="4">
        <f t="shared" si="1"/>
        <v>384.41919999999999</v>
      </c>
      <c r="F97" s="2" t="s">
        <v>449</v>
      </c>
      <c r="G97" s="2" t="s">
        <v>450</v>
      </c>
      <c r="H97" s="5" t="s">
        <v>47</v>
      </c>
    </row>
    <row r="98" spans="1:8" x14ac:dyDescent="0.25">
      <c r="A98" s="2" t="s">
        <v>451</v>
      </c>
      <c r="B98" s="2" t="s">
        <v>452</v>
      </c>
      <c r="C98" s="2" t="s">
        <v>453</v>
      </c>
      <c r="D98" s="3">
        <v>17.690000000000001</v>
      </c>
      <c r="E98" s="4">
        <f t="shared" si="1"/>
        <v>57.669400000000003</v>
      </c>
      <c r="F98" s="2" t="s">
        <v>454</v>
      </c>
      <c r="G98" s="2" t="s">
        <v>455</v>
      </c>
      <c r="H98" s="5" t="s">
        <v>13</v>
      </c>
    </row>
    <row r="99" spans="1:8" x14ac:dyDescent="0.25">
      <c r="A99" s="2" t="s">
        <v>456</v>
      </c>
      <c r="B99" s="2" t="s">
        <v>452</v>
      </c>
      <c r="C99" s="2" t="s">
        <v>457</v>
      </c>
      <c r="D99" s="3">
        <v>162.6</v>
      </c>
      <c r="E99" s="4">
        <f t="shared" si="1"/>
        <v>530.07599999999991</v>
      </c>
      <c r="F99" s="2" t="s">
        <v>458</v>
      </c>
      <c r="G99" s="2" t="s">
        <v>459</v>
      </c>
      <c r="H99" s="5" t="s">
        <v>47</v>
      </c>
    </row>
    <row r="100" spans="1:8" x14ac:dyDescent="0.25">
      <c r="A100" s="2" t="s">
        <v>460</v>
      </c>
      <c r="B100" s="2" t="s">
        <v>461</v>
      </c>
      <c r="C100" s="2" t="s">
        <v>462</v>
      </c>
      <c r="D100" s="3">
        <v>393.7</v>
      </c>
      <c r="E100" s="4">
        <f t="shared" si="1"/>
        <v>1283.462</v>
      </c>
      <c r="F100" s="2" t="s">
        <v>463</v>
      </c>
      <c r="G100" s="2" t="s">
        <v>18</v>
      </c>
      <c r="H100" s="5" t="s">
        <v>19</v>
      </c>
    </row>
    <row r="101" spans="1:8" x14ac:dyDescent="0.25">
      <c r="A101" s="2" t="s">
        <v>464</v>
      </c>
      <c r="B101" s="2" t="s">
        <v>461</v>
      </c>
      <c r="C101" s="2" t="s">
        <v>465</v>
      </c>
      <c r="D101" s="3">
        <v>121.21</v>
      </c>
      <c r="E101" s="4">
        <f t="shared" si="1"/>
        <v>395.14459999999997</v>
      </c>
      <c r="F101" s="2" t="s">
        <v>466</v>
      </c>
      <c r="G101" s="2" t="s">
        <v>467</v>
      </c>
      <c r="H101" s="5" t="s">
        <v>47</v>
      </c>
    </row>
  </sheetData>
  <sortState xmlns:xlrd2="http://schemas.microsoft.com/office/spreadsheetml/2017/richdata2" ref="K2:K9">
    <sortCondition ref="K4:K9"/>
  </sortState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Label1">
          <controlPr defaultSize="0" autoLine="0" r:id="rId5">
            <anchor moveWithCells="1">
              <from>
                <xdr:col>8</xdr:col>
                <xdr:colOff>628650</xdr:colOff>
                <xdr:row>1</xdr:row>
                <xdr:rowOff>0</xdr:rowOff>
              </from>
              <to>
                <xdr:col>9</xdr:col>
                <xdr:colOff>495300</xdr:colOff>
                <xdr:row>2</xdr:row>
                <xdr:rowOff>38100</xdr:rowOff>
              </to>
            </anchor>
          </controlPr>
        </control>
      </mc:Choice>
      <mc:Fallback>
        <control shapeId="1026" r:id="rId4" name="Label1"/>
      </mc:Fallback>
    </mc:AlternateContent>
    <mc:AlternateContent xmlns:mc="http://schemas.openxmlformats.org/markup-compatibility/2006">
      <mc:Choice Requires="x14">
        <control shapeId="1025" r:id="rId6" name="lstKlasser">
          <controlPr defaultSize="0" autoLine="0" autoPict="0" listFillRange="K2:K9" r:id="rId7">
            <anchor moveWithCells="1">
              <from>
                <xdr:col>8</xdr:col>
                <xdr:colOff>609600</xdr:colOff>
                <xdr:row>2</xdr:row>
                <xdr:rowOff>38100</xdr:rowOff>
              </from>
              <to>
                <xdr:col>9</xdr:col>
                <xdr:colOff>495300</xdr:colOff>
                <xdr:row>13</xdr:row>
                <xdr:rowOff>85725</xdr:rowOff>
              </to>
            </anchor>
          </controlPr>
        </control>
      </mc:Choice>
      <mc:Fallback>
        <control shapeId="1025" r:id="rId6" name="lstKlasser"/>
      </mc:Fallback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tart">
            <anchor moveWithCells="1" sizeWithCells="1">
              <from>
                <xdr:col>10</xdr:col>
                <xdr:colOff>571500</xdr:colOff>
                <xdr:row>12</xdr:row>
                <xdr:rowOff>104775</xdr:rowOff>
              </from>
              <to>
                <xdr:col>11</xdr:col>
                <xdr:colOff>1362075</xdr:colOff>
                <xdr:row>14</xdr:row>
                <xdr:rowOff>123825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F6B6C-8D64-4005-A859-30E02EC1B35D}">
  <sheetPr codeName="Blad2"/>
  <dimension ref="A1:B36"/>
  <sheetViews>
    <sheetView workbookViewId="0">
      <selection activeCell="A4" sqref="A4"/>
    </sheetView>
  </sheetViews>
  <sheetFormatPr defaultRowHeight="15" x14ac:dyDescent="0.25"/>
  <cols>
    <col min="1" max="1" width="25.5703125" bestFit="1" customWidth="1"/>
    <col min="2" max="2" width="11.85546875" bestFit="1" customWidth="1"/>
  </cols>
  <sheetData>
    <row r="1" spans="1:2" x14ac:dyDescent="0.25">
      <c r="A1" t="s">
        <v>471</v>
      </c>
    </row>
    <row r="3" spans="1:2" x14ac:dyDescent="0.25">
      <c r="A3" t="s">
        <v>468</v>
      </c>
      <c r="B3" t="s">
        <v>469</v>
      </c>
    </row>
    <row r="4" spans="1:2" x14ac:dyDescent="0.25">
      <c r="A4" t="s">
        <v>42</v>
      </c>
      <c r="B4">
        <v>772.5222</v>
      </c>
    </row>
    <row r="5" spans="1:2" x14ac:dyDescent="0.25">
      <c r="A5" t="s">
        <v>53</v>
      </c>
      <c r="B5">
        <v>143.73339999999999</v>
      </c>
    </row>
    <row r="6" spans="1:2" x14ac:dyDescent="0.25">
      <c r="A6" t="s">
        <v>63</v>
      </c>
      <c r="B6">
        <v>524.95780000000002</v>
      </c>
    </row>
    <row r="7" spans="1:2" x14ac:dyDescent="0.25">
      <c r="A7" t="s">
        <v>73</v>
      </c>
      <c r="B7">
        <v>320.55579999999998</v>
      </c>
    </row>
    <row r="8" spans="1:2" x14ac:dyDescent="0.25">
      <c r="A8" t="s">
        <v>83</v>
      </c>
      <c r="B8">
        <v>262.07139999999998</v>
      </c>
    </row>
    <row r="9" spans="1:2" x14ac:dyDescent="0.25">
      <c r="A9" t="s">
        <v>103</v>
      </c>
      <c r="B9">
        <v>352.43859999999995</v>
      </c>
    </row>
    <row r="10" spans="1:2" x14ac:dyDescent="0.25">
      <c r="A10" t="s">
        <v>117</v>
      </c>
      <c r="B10">
        <v>77.457599999999999</v>
      </c>
    </row>
    <row r="11" spans="1:2" x14ac:dyDescent="0.25">
      <c r="A11" t="s">
        <v>122</v>
      </c>
      <c r="B11">
        <v>430.64599999999996</v>
      </c>
    </row>
    <row r="12" spans="1:2" x14ac:dyDescent="0.25">
      <c r="A12" t="s">
        <v>137</v>
      </c>
      <c r="B12">
        <v>702.59519999999998</v>
      </c>
    </row>
    <row r="13" spans="1:2" x14ac:dyDescent="0.25">
      <c r="A13" t="s">
        <v>141</v>
      </c>
      <c r="B13">
        <v>242.93519999999998</v>
      </c>
    </row>
    <row r="14" spans="1:2" x14ac:dyDescent="0.25">
      <c r="A14" t="s">
        <v>146</v>
      </c>
      <c r="B14">
        <v>130.98679999999999</v>
      </c>
    </row>
    <row r="15" spans="1:2" x14ac:dyDescent="0.25">
      <c r="A15" t="s">
        <v>156</v>
      </c>
      <c r="B15">
        <v>1341.5551999999998</v>
      </c>
    </row>
    <row r="16" spans="1:2" x14ac:dyDescent="0.25">
      <c r="A16" t="s">
        <v>161</v>
      </c>
      <c r="B16">
        <v>101.35339999999999</v>
      </c>
    </row>
    <row r="17" spans="1:2" x14ac:dyDescent="0.25">
      <c r="A17" t="s">
        <v>187</v>
      </c>
      <c r="B17">
        <v>144.58099999999999</v>
      </c>
    </row>
    <row r="18" spans="1:2" x14ac:dyDescent="0.25">
      <c r="A18" t="s">
        <v>200</v>
      </c>
      <c r="B18">
        <v>100.6362</v>
      </c>
    </row>
    <row r="19" spans="1:2" x14ac:dyDescent="0.25">
      <c r="A19" t="s">
        <v>231</v>
      </c>
      <c r="B19">
        <v>183.14679999999998</v>
      </c>
    </row>
    <row r="20" spans="1:2" x14ac:dyDescent="0.25">
      <c r="A20" t="s">
        <v>241</v>
      </c>
      <c r="B20">
        <v>499.23639999999995</v>
      </c>
    </row>
    <row r="21" spans="1:2" x14ac:dyDescent="0.25">
      <c r="A21" t="s">
        <v>264</v>
      </c>
      <c r="B21">
        <v>224.22279999999998</v>
      </c>
    </row>
    <row r="22" spans="1:2" x14ac:dyDescent="0.25">
      <c r="A22" t="s">
        <v>274</v>
      </c>
      <c r="B22">
        <v>97.017600000000002</v>
      </c>
    </row>
    <row r="23" spans="1:2" x14ac:dyDescent="0.25">
      <c r="A23" t="s">
        <v>278</v>
      </c>
      <c r="B23">
        <v>2103.2215999999999</v>
      </c>
    </row>
    <row r="24" spans="1:2" x14ac:dyDescent="0.25">
      <c r="A24" t="s">
        <v>299</v>
      </c>
      <c r="B24">
        <v>92.779600000000002</v>
      </c>
    </row>
    <row r="25" spans="1:2" x14ac:dyDescent="0.25">
      <c r="A25" t="s">
        <v>314</v>
      </c>
      <c r="B25">
        <v>612.78219999999999</v>
      </c>
    </row>
    <row r="26" spans="1:2" x14ac:dyDescent="0.25">
      <c r="A26" t="s">
        <v>365</v>
      </c>
      <c r="B26">
        <v>375.58459999999997</v>
      </c>
    </row>
    <row r="27" spans="1:2" x14ac:dyDescent="0.25">
      <c r="A27" t="s">
        <v>369</v>
      </c>
      <c r="B27">
        <v>401.46899999999999</v>
      </c>
    </row>
    <row r="28" spans="1:2" x14ac:dyDescent="0.25">
      <c r="A28" t="s">
        <v>377</v>
      </c>
      <c r="B28">
        <v>547.90819999999997</v>
      </c>
    </row>
    <row r="29" spans="1:2" x14ac:dyDescent="0.25">
      <c r="A29" t="s">
        <v>382</v>
      </c>
      <c r="B29">
        <v>308.42859999999996</v>
      </c>
    </row>
    <row r="30" spans="1:2" x14ac:dyDescent="0.25">
      <c r="A30" t="s">
        <v>399</v>
      </c>
      <c r="B30">
        <v>463.73499999999996</v>
      </c>
    </row>
    <row r="31" spans="1:2" x14ac:dyDescent="0.25">
      <c r="A31" t="s">
        <v>423</v>
      </c>
      <c r="B31">
        <v>3196.0713999999998</v>
      </c>
    </row>
    <row r="32" spans="1:2" x14ac:dyDescent="0.25">
      <c r="A32" t="s">
        <v>427</v>
      </c>
      <c r="B32">
        <v>538.84539999999993</v>
      </c>
    </row>
    <row r="33" spans="1:2" x14ac:dyDescent="0.25">
      <c r="A33" t="s">
        <v>433</v>
      </c>
      <c r="B33">
        <v>139.56059999999999</v>
      </c>
    </row>
    <row r="34" spans="1:2" x14ac:dyDescent="0.25">
      <c r="A34" t="s">
        <v>446</v>
      </c>
      <c r="B34">
        <v>384.41919999999999</v>
      </c>
    </row>
    <row r="35" spans="1:2" x14ac:dyDescent="0.25">
      <c r="A35" t="s">
        <v>456</v>
      </c>
      <c r="B35">
        <v>530.07599999999991</v>
      </c>
    </row>
    <row r="36" spans="1:2" x14ac:dyDescent="0.25">
      <c r="A36" t="s">
        <v>464</v>
      </c>
      <c r="B36">
        <v>395.14459999999997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D48AFD-1DEB-48BC-B6B5-F4ECB54DB66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41801A6-62A5-4111-B871-D87CCA322F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9D0B35-746B-414F-9E99-A5BA4108F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a43f9-ed03-448a-8f38-d6eeee3d8b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100 ljusstarkaste stjärnorna</vt:lpstr>
      <vt:lpstr>Urval</vt:lpstr>
      <vt:lpstr>'100 ljusstarkaste stjärnorna'!Extract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LellesDator</dc:creator>
  <cp:lastModifiedBy>Daniel Frykman</cp:lastModifiedBy>
  <dcterms:created xsi:type="dcterms:W3CDTF">2020-11-30T18:10:55Z</dcterms:created>
  <dcterms:modified xsi:type="dcterms:W3CDTF">2021-03-09T14:12:26Z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